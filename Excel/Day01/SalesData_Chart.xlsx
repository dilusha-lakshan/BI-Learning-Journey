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I-Learning-Journey\Excel\Day01\"/>
    </mc:Choice>
  </mc:AlternateContent>
  <xr:revisionPtr revIDLastSave="0" documentId="13_ncr:1_{4EC8D2FD-86F1-4E99-BE30-C56B49EF2D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Data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3" i="2"/>
  <c r="H2" i="1"/>
  <c r="H11" i="1"/>
  <c r="E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12" i="1"/>
  <c r="H4" i="1" s="1"/>
  <c r="E3" i="1"/>
  <c r="E4" i="1"/>
  <c r="E5" i="1"/>
  <c r="E6" i="1"/>
  <c r="E7" i="1"/>
  <c r="E8" i="1"/>
  <c r="E9" i="1"/>
  <c r="E10" i="1"/>
  <c r="E11" i="1"/>
  <c r="H8" i="1" l="1"/>
  <c r="H3" i="1"/>
  <c r="H10" i="1"/>
  <c r="H9" i="1"/>
  <c r="H7" i="1"/>
  <c r="H6" i="1"/>
  <c r="H5" i="1"/>
</calcChain>
</file>

<file path=xl/sharedStrings.xml><?xml version="1.0" encoding="utf-8"?>
<sst xmlns="http://schemas.openxmlformats.org/spreadsheetml/2006/main" count="37" uniqueCount="29">
  <si>
    <t>Person</t>
  </si>
  <si>
    <t>January</t>
  </si>
  <si>
    <t>February</t>
  </si>
  <si>
    <t>March</t>
  </si>
  <si>
    <t>Total</t>
  </si>
  <si>
    <t>Average</t>
  </si>
  <si>
    <t>Percentage Sales</t>
  </si>
  <si>
    <t>Dilusha</t>
  </si>
  <si>
    <t>Sehansa</t>
  </si>
  <si>
    <t>Janith</t>
  </si>
  <si>
    <t>Kavindu</t>
  </si>
  <si>
    <t>Saranga</t>
  </si>
  <si>
    <t>Lihini</t>
  </si>
  <si>
    <t>Dinithi</t>
  </si>
  <si>
    <t>Pathum</t>
  </si>
  <si>
    <t>Akila</t>
  </si>
  <si>
    <t>Jasmitha</t>
  </si>
  <si>
    <t>Difference (march-jan)</t>
  </si>
  <si>
    <t>Name</t>
  </si>
  <si>
    <t>District</t>
  </si>
  <si>
    <t>Actual Sales</t>
  </si>
  <si>
    <t>Estimated Sales</t>
  </si>
  <si>
    <t>Sithum</t>
  </si>
  <si>
    <t>Pasindu</t>
  </si>
  <si>
    <t>Embilipitya</t>
  </si>
  <si>
    <t>Galle</t>
  </si>
  <si>
    <t>Chilaw</t>
  </si>
  <si>
    <t>SALES DATA FOR SEPTEMBER</t>
  </si>
  <si>
    <t>Average Actual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</si>
</sst>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LKR]\ #,##0.00;[Red][$LKR]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7" tint="0.59999389629810485"/>
        <bgColor theme="9" tint="0.79998168889431442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4" xfId="0" applyBorder="1"/>
    <xf numFmtId="0" fontId="0" fillId="0" borderId="5" xfId="0" applyBorder="1"/>
    <xf numFmtId="0" fontId="3" fillId="2" borderId="1" xfId="0" applyFont="1" applyFill="1" applyBorder="1"/>
    <xf numFmtId="0" fontId="0" fillId="4" borderId="5" xfId="0" applyFill="1" applyBorder="1"/>
    <xf numFmtId="2" fontId="0" fillId="4" borderId="5" xfId="0" applyNumberFormat="1" applyFill="1" applyBorder="1"/>
    <xf numFmtId="9" fontId="0" fillId="4" borderId="6" xfId="1" applyFont="1" applyFill="1" applyBorder="1"/>
    <xf numFmtId="10" fontId="0" fillId="4" borderId="6" xfId="1" applyNumberFormat="1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164" fontId="0" fillId="0" borderId="0" xfId="0" applyNumberFormat="1"/>
    <xf numFmtId="164" fontId="0" fillId="0" borderId="11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0" fontId="3" fillId="5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Estimated vs Actual Values - September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 Sales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Chart!$A$3:$A$8</c:f>
              <c:strCache>
                <c:ptCount val="6"/>
                <c:pt idx="0">
                  <c:v>Dilusha</c:v>
                </c:pt>
                <c:pt idx="1">
                  <c:v>Sehansa</c:v>
                </c:pt>
                <c:pt idx="2">
                  <c:v>Sithum</c:v>
                </c:pt>
                <c:pt idx="3">
                  <c:v>Pasindu</c:v>
                </c:pt>
                <c:pt idx="4">
                  <c:v>Saranga</c:v>
                </c:pt>
                <c:pt idx="5">
                  <c:v>Kavindu</c:v>
                </c:pt>
              </c:strCache>
            </c:strRef>
          </c:cat>
          <c:val>
            <c:numRef>
              <c:f>Chart!$C$3:$C$8</c:f>
              <c:numCache>
                <c:formatCode>[$LKR]\ #,##0.00;[Red][$LKR]\ #,##0.00</c:formatCode>
                <c:ptCount val="6"/>
                <c:pt idx="0">
                  <c:v>2500000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800000</c:v>
                </c:pt>
                <c:pt idx="5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9-44D4-AF86-E9C315004275}"/>
            </c:ext>
          </c:extLst>
        </c:ser>
        <c:ser>
          <c:idx val="1"/>
          <c:order val="1"/>
          <c:tx>
            <c:v>Estimated Sales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Chart!$A$3:$A$8</c:f>
              <c:strCache>
                <c:ptCount val="6"/>
                <c:pt idx="0">
                  <c:v>Dilusha</c:v>
                </c:pt>
                <c:pt idx="1">
                  <c:v>Sehansa</c:v>
                </c:pt>
                <c:pt idx="2">
                  <c:v>Sithum</c:v>
                </c:pt>
                <c:pt idx="3">
                  <c:v>Pasindu</c:v>
                </c:pt>
                <c:pt idx="4">
                  <c:v>Saranga</c:v>
                </c:pt>
                <c:pt idx="5">
                  <c:v>Kavindu</c:v>
                </c:pt>
              </c:strCache>
            </c:strRef>
          </c:cat>
          <c:val>
            <c:numRef>
              <c:f>Chart!$E$3:$E$8</c:f>
              <c:numCache>
                <c:formatCode>[$LKR]\ #,##0.00;[Red][$LKR]\ #,##0.00</c:formatCode>
                <c:ptCount val="6"/>
                <c:pt idx="0">
                  <c:v>3000000</c:v>
                </c:pt>
                <c:pt idx="1">
                  <c:v>750000</c:v>
                </c:pt>
                <c:pt idx="2">
                  <c:v>1200000</c:v>
                </c:pt>
                <c:pt idx="3">
                  <c:v>2500000</c:v>
                </c:pt>
                <c:pt idx="4">
                  <c:v>1000000</c:v>
                </c:pt>
                <c:pt idx="5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9-44D4-AF86-E9C315004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59371808"/>
        <c:axId val="153754384"/>
      </c:barChart>
      <c:catAx>
        <c:axId val="159371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54384"/>
        <c:crosses val="autoZero"/>
        <c:auto val="1"/>
        <c:lblAlgn val="ctr"/>
        <c:lblOffset val="100"/>
        <c:noMultiLvlLbl val="0"/>
      </c:catAx>
      <c:valAx>
        <c:axId val="153754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LKR]\ #,##0.00;[Red][$LKR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7180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Turnover vs Actual Turnover - September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Chart!$C$2</c:f>
              <c:strCache>
                <c:ptCount val="1"/>
                <c:pt idx="0">
                  <c:v>Actual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Chart!$A$3:$A$8</c:f>
              <c:strCache>
                <c:ptCount val="6"/>
                <c:pt idx="0">
                  <c:v>Dilusha</c:v>
                </c:pt>
                <c:pt idx="1">
                  <c:v>Sehansa</c:v>
                </c:pt>
                <c:pt idx="2">
                  <c:v>Sithum</c:v>
                </c:pt>
                <c:pt idx="3">
                  <c:v>Pasindu</c:v>
                </c:pt>
                <c:pt idx="4">
                  <c:v>Saranga</c:v>
                </c:pt>
                <c:pt idx="5">
                  <c:v>Kavindu</c:v>
                </c:pt>
              </c:strCache>
            </c:strRef>
          </c:cat>
          <c:val>
            <c:numRef>
              <c:f>Chart!$C$3:$C$8</c:f>
              <c:numCache>
                <c:formatCode>[$LKR]\ #,##0.00;[Red][$LKR]\ #,##0.00</c:formatCode>
                <c:ptCount val="6"/>
                <c:pt idx="0">
                  <c:v>2500000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800000</c:v>
                </c:pt>
                <c:pt idx="5">
                  <c:v>1400000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F-47FB-A87F-94B70099570A}"/>
            </c:ext>
          </c:extLst>
        </c:ser>
        <c:ser>
          <c:idx val="1"/>
          <c:order val="1"/>
          <c:tx>
            <c:strRef>
              <c:f>Chart!$D$2</c:f>
              <c:strCache>
                <c:ptCount val="1"/>
                <c:pt idx="0">
                  <c:v>Average Actual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Chart!$A$3:$A$8</c:f>
              <c:strCache>
                <c:ptCount val="6"/>
                <c:pt idx="0">
                  <c:v>Dilusha</c:v>
                </c:pt>
                <c:pt idx="1">
                  <c:v>Sehansa</c:v>
                </c:pt>
                <c:pt idx="2">
                  <c:v>Sithum</c:v>
                </c:pt>
                <c:pt idx="3">
                  <c:v>Pasindu</c:v>
                </c:pt>
                <c:pt idx="4">
                  <c:v>Saranga</c:v>
                </c:pt>
                <c:pt idx="5">
                  <c:v>Kavindu</c:v>
                </c:pt>
              </c:strCache>
            </c:strRef>
          </c:cat>
          <c:val>
            <c:numRef>
              <c:f>Chart!$D$3:$D$8</c:f>
              <c:numCache>
                <c:formatCode>[$LKR]\ #,##0.00;[Red][$LKR]\ #,##0.00</c:formatCode>
                <c:ptCount val="6"/>
                <c:pt idx="0">
                  <c:v>1533333.3333333333</c:v>
                </c:pt>
                <c:pt idx="1">
                  <c:v>1533333.3333333333</c:v>
                </c:pt>
                <c:pt idx="2">
                  <c:v>1533333.3333333333</c:v>
                </c:pt>
                <c:pt idx="3">
                  <c:v>1533333.3333333333</c:v>
                </c:pt>
                <c:pt idx="4">
                  <c:v>1533333.3333333333</c:v>
                </c:pt>
                <c:pt idx="5">
                  <c:v>1533333.3333333333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DF-47FB-A87F-94B700995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1237760"/>
        <c:axId val="224708496"/>
      </c:lineChart>
      <c:catAx>
        <c:axId val="22123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08496"/>
        <c:crosses val="autoZero"/>
        <c:auto val="1"/>
        <c:lblAlgn val="ctr"/>
        <c:lblOffset val="100"/>
        <c:noMultiLvlLbl val="0"/>
      </c:catAx>
      <c:valAx>
        <c:axId val="2247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LKR]\ #,##0.00;[Red][$LKR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3776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5453</xdr:colOff>
      <xdr:row>12</xdr:row>
      <xdr:rowOff>9940</xdr:rowOff>
    </xdr:from>
    <xdr:to>
      <xdr:col>4</xdr:col>
      <xdr:colOff>1151766</xdr:colOff>
      <xdr:row>26</xdr:row>
      <xdr:rowOff>155714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998DE-1C9F-C139-F56D-117905158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605118</xdr:colOff>
      <xdr:row>12</xdr:row>
      <xdr:rowOff>8966</xdr:rowOff>
    </xdr:from>
    <xdr:to>
      <xdr:col>13</xdr:col>
      <xdr:colOff>300318</xdr:colOff>
      <xdr:row>27</xdr:row>
      <xdr:rowOff>62754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C5BD64-BBF6-BDC2-067D-C62892981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zoomScaleNormal="100" workbookViewId="0">
      <selection activeCell="F12" sqref="F12"/>
    </sheetView>
  </sheetViews>
  <sheetFormatPr defaultRowHeight="14.4" x14ac:dyDescent="0.3"/>
  <cols>
    <col min="6" max="6" width="17.88671875" customWidth="1"/>
    <col min="7" max="7" width="17.5546875" customWidth="1"/>
    <col min="8" max="8" width="16.5546875" customWidth="1"/>
  </cols>
  <sheetData>
    <row r="1" spans="1:8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</v>
      </c>
      <c r="G1" s="4" t="s">
        <v>5</v>
      </c>
      <c r="H1" s="5" t="s">
        <v>6</v>
      </c>
    </row>
    <row r="2" spans="1:8" x14ac:dyDescent="0.3">
      <c r="A2" s="6" t="s">
        <v>7</v>
      </c>
      <c r="B2" s="7">
        <v>1000</v>
      </c>
      <c r="C2" s="7">
        <v>2500</v>
      </c>
      <c r="D2" s="7">
        <v>1750</v>
      </c>
      <c r="E2" s="11">
        <f>SUM(B2:D2)</f>
        <v>5250</v>
      </c>
      <c r="F2" s="11">
        <f>D2-B2</f>
        <v>750</v>
      </c>
      <c r="G2" s="12">
        <f>AVERAGE(B2:D2)</f>
        <v>1750</v>
      </c>
      <c r="H2" s="14">
        <f>E2/$E$12</f>
        <v>8.1143740340030912E-2</v>
      </c>
    </row>
    <row r="3" spans="1:8" x14ac:dyDescent="0.3">
      <c r="A3" s="8" t="s">
        <v>8</v>
      </c>
      <c r="B3" s="9">
        <v>2500</v>
      </c>
      <c r="C3" s="9">
        <v>1100</v>
      </c>
      <c r="D3" s="9">
        <v>1780</v>
      </c>
      <c r="E3" s="11">
        <f t="shared" ref="E3:E11" si="0">SUM(B3:D3)</f>
        <v>5380</v>
      </c>
      <c r="F3" s="11">
        <f t="shared" ref="F3:F11" si="1">D3-B3</f>
        <v>-720</v>
      </c>
      <c r="G3" s="12">
        <f t="shared" ref="G3:G11" si="2">AVERAGE(B3:D3)</f>
        <v>1793.3333333333333</v>
      </c>
      <c r="H3" s="13">
        <f t="shared" ref="H3:H10" si="3">E3/$E$12</f>
        <v>8.3153013910355483E-2</v>
      </c>
    </row>
    <row r="4" spans="1:8" x14ac:dyDescent="0.3">
      <c r="A4" s="6" t="s">
        <v>9</v>
      </c>
      <c r="B4" s="7">
        <v>1700</v>
      </c>
      <c r="C4" s="7">
        <v>2800</v>
      </c>
      <c r="D4" s="7">
        <v>1000</v>
      </c>
      <c r="E4" s="11">
        <f t="shared" si="0"/>
        <v>5500</v>
      </c>
      <c r="F4" s="11">
        <f t="shared" si="1"/>
        <v>-700</v>
      </c>
      <c r="G4" s="12">
        <f t="shared" si="2"/>
        <v>1833.3333333333333</v>
      </c>
      <c r="H4" s="13">
        <f t="shared" si="3"/>
        <v>8.5007727975270481E-2</v>
      </c>
    </row>
    <row r="5" spans="1:8" x14ac:dyDescent="0.3">
      <c r="A5" s="8" t="s">
        <v>10</v>
      </c>
      <c r="B5" s="9">
        <v>3000</v>
      </c>
      <c r="C5" s="9">
        <v>1900</v>
      </c>
      <c r="D5" s="9">
        <v>2100</v>
      </c>
      <c r="E5" s="11">
        <f t="shared" si="0"/>
        <v>7000</v>
      </c>
      <c r="F5" s="11">
        <f t="shared" si="1"/>
        <v>-900</v>
      </c>
      <c r="G5" s="12">
        <f t="shared" si="2"/>
        <v>2333.3333333333335</v>
      </c>
      <c r="H5" s="13">
        <f t="shared" si="3"/>
        <v>0.10819165378670788</v>
      </c>
    </row>
    <row r="6" spans="1:8" x14ac:dyDescent="0.3">
      <c r="A6" s="6" t="s">
        <v>11</v>
      </c>
      <c r="B6" s="7">
        <v>1200</v>
      </c>
      <c r="C6" s="7">
        <v>1600</v>
      </c>
      <c r="D6" s="7">
        <v>2000</v>
      </c>
      <c r="E6" s="11">
        <f t="shared" si="0"/>
        <v>4800</v>
      </c>
      <c r="F6" s="11">
        <f t="shared" si="1"/>
        <v>800</v>
      </c>
      <c r="G6" s="12">
        <f t="shared" si="2"/>
        <v>1600</v>
      </c>
      <c r="H6" s="13">
        <f t="shared" si="3"/>
        <v>7.4188562596599686E-2</v>
      </c>
    </row>
    <row r="7" spans="1:8" x14ac:dyDescent="0.3">
      <c r="A7" s="8" t="s">
        <v>12</v>
      </c>
      <c r="B7" s="9">
        <v>2300</v>
      </c>
      <c r="C7" s="9">
        <v>2700</v>
      </c>
      <c r="D7" s="9">
        <v>3000</v>
      </c>
      <c r="E7" s="11">
        <f t="shared" si="0"/>
        <v>8000</v>
      </c>
      <c r="F7" s="11">
        <f t="shared" si="1"/>
        <v>700</v>
      </c>
      <c r="G7" s="12">
        <f t="shared" si="2"/>
        <v>2666.6666666666665</v>
      </c>
      <c r="H7" s="13">
        <f t="shared" si="3"/>
        <v>0.12364760432766615</v>
      </c>
    </row>
    <row r="8" spans="1:8" x14ac:dyDescent="0.3">
      <c r="A8" s="6" t="s">
        <v>13</v>
      </c>
      <c r="B8" s="7">
        <v>3100</v>
      </c>
      <c r="C8" s="7">
        <v>2120</v>
      </c>
      <c r="D8" s="7">
        <v>2400</v>
      </c>
      <c r="E8" s="11">
        <f t="shared" si="0"/>
        <v>7620</v>
      </c>
      <c r="F8" s="11">
        <f t="shared" si="1"/>
        <v>-700</v>
      </c>
      <c r="G8" s="12">
        <f t="shared" si="2"/>
        <v>2540</v>
      </c>
      <c r="H8" s="13">
        <f t="shared" si="3"/>
        <v>0.11777434312210201</v>
      </c>
    </row>
    <row r="9" spans="1:8" x14ac:dyDescent="0.3">
      <c r="A9" s="8" t="s">
        <v>14</v>
      </c>
      <c r="B9" s="9">
        <v>1600</v>
      </c>
      <c r="C9" s="9">
        <v>2000</v>
      </c>
      <c r="D9" s="9">
        <v>1500</v>
      </c>
      <c r="E9" s="11">
        <f t="shared" si="0"/>
        <v>5100</v>
      </c>
      <c r="F9" s="11">
        <f t="shared" si="1"/>
        <v>-100</v>
      </c>
      <c r="G9" s="12">
        <f t="shared" si="2"/>
        <v>1700</v>
      </c>
      <c r="H9" s="13">
        <f t="shared" si="3"/>
        <v>7.8825347758887165E-2</v>
      </c>
    </row>
    <row r="10" spans="1:8" x14ac:dyDescent="0.3">
      <c r="A10" s="6" t="s">
        <v>15</v>
      </c>
      <c r="B10" s="7">
        <v>1250</v>
      </c>
      <c r="C10" s="7">
        <v>3500</v>
      </c>
      <c r="D10" s="7">
        <v>3300</v>
      </c>
      <c r="E10" s="11">
        <f t="shared" si="0"/>
        <v>8050</v>
      </c>
      <c r="F10" s="11">
        <f t="shared" si="1"/>
        <v>2050</v>
      </c>
      <c r="G10" s="12">
        <f t="shared" si="2"/>
        <v>2683.3333333333335</v>
      </c>
      <c r="H10" s="13">
        <f t="shared" si="3"/>
        <v>0.12442040185471406</v>
      </c>
    </row>
    <row r="11" spans="1:8" x14ac:dyDescent="0.3">
      <c r="A11" s="8" t="s">
        <v>16</v>
      </c>
      <c r="B11" s="9">
        <v>2300</v>
      </c>
      <c r="C11" s="9">
        <v>3000</v>
      </c>
      <c r="D11" s="9">
        <v>2700</v>
      </c>
      <c r="E11" s="11">
        <f t="shared" si="0"/>
        <v>8000</v>
      </c>
      <c r="F11" s="11">
        <f t="shared" si="1"/>
        <v>400</v>
      </c>
      <c r="G11" s="12">
        <f t="shared" si="2"/>
        <v>2666.6666666666665</v>
      </c>
      <c r="H11" s="13">
        <f>E11/$E$12</f>
        <v>0.12364760432766615</v>
      </c>
    </row>
    <row r="12" spans="1:8" x14ac:dyDescent="0.3">
      <c r="A12" s="10" t="s">
        <v>4</v>
      </c>
      <c r="B12" s="1"/>
      <c r="C12" s="1"/>
      <c r="D12" s="1"/>
      <c r="E12" s="1">
        <f>SUM(E2:E11)</f>
        <v>64700</v>
      </c>
      <c r="F12" s="1"/>
      <c r="G12" s="1"/>
      <c r="H1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BCC5-8939-43D3-8F65-9AE009E04B52}">
  <dimension ref="A1:E8"/>
  <sheetViews>
    <sheetView tabSelected="1" zoomScale="85" zoomScaleNormal="85" workbookViewId="0">
      <selection activeCell="J6" sqref="J6"/>
    </sheetView>
  </sheetViews>
  <sheetFormatPr defaultRowHeight="14.4" x14ac:dyDescent="0.3"/>
  <cols>
    <col min="1" max="1" width="16.44140625" customWidth="1"/>
    <col min="2" max="2" width="16.5546875" customWidth="1"/>
    <col min="3" max="4" width="17" customWidth="1"/>
    <col min="5" max="5" width="17.77734375" customWidth="1"/>
  </cols>
  <sheetData>
    <row r="1" spans="1:5" x14ac:dyDescent="0.3">
      <c r="A1" s="25" t="s">
        <v>27</v>
      </c>
      <c r="B1" s="25"/>
      <c r="C1" s="25"/>
      <c r="D1" s="25"/>
      <c r="E1" s="25"/>
    </row>
    <row r="2" spans="1:5" x14ac:dyDescent="0.3">
      <c r="A2" s="15" t="s">
        <v>18</v>
      </c>
      <c r="B2" s="16" t="s">
        <v>19</v>
      </c>
      <c r="C2" s="16" t="s">
        <v>20</v>
      </c>
      <c r="D2" s="16" t="s">
        <v>28</v>
      </c>
      <c r="E2" s="17" t="s">
        <v>21</v>
      </c>
    </row>
    <row r="3" spans="1:5" x14ac:dyDescent="0.3">
      <c r="A3" s="18" t="s">
        <v>7</v>
      </c>
      <c r="B3" t="s">
        <v>26</v>
      </c>
      <c r="C3" s="21">
        <v>2500000</v>
      </c>
      <c r="D3" s="21">
        <f>AVERAGE($C$3:$C$8)</f>
        <v>1533333.3333333333</v>
      </c>
      <c r="E3" s="22">
        <v>3000000</v>
      </c>
    </row>
    <row r="4" spans="1:5" x14ac:dyDescent="0.3">
      <c r="A4" s="18" t="s">
        <v>8</v>
      </c>
      <c r="B4" t="s">
        <v>24</v>
      </c>
      <c r="C4" s="21">
        <v>1000000</v>
      </c>
      <c r="D4" s="21">
        <f t="shared" ref="D4:D8" si="0">AVERAGE($C$3:$C$8)</f>
        <v>1533333.3333333333</v>
      </c>
      <c r="E4" s="22">
        <v>750000</v>
      </c>
    </row>
    <row r="5" spans="1:5" x14ac:dyDescent="0.3">
      <c r="A5" s="18" t="s">
        <v>22</v>
      </c>
      <c r="B5" t="s">
        <v>26</v>
      </c>
      <c r="C5" s="21">
        <v>1500000</v>
      </c>
      <c r="D5" s="21">
        <f t="shared" si="0"/>
        <v>1533333.3333333333</v>
      </c>
      <c r="E5" s="22">
        <v>1200000</v>
      </c>
    </row>
    <row r="6" spans="1:5" x14ac:dyDescent="0.3">
      <c r="A6" s="18" t="s">
        <v>23</v>
      </c>
      <c r="B6" t="s">
        <v>26</v>
      </c>
      <c r="C6" s="21">
        <v>2000000</v>
      </c>
      <c r="D6" s="21">
        <f t="shared" si="0"/>
        <v>1533333.3333333333</v>
      </c>
      <c r="E6" s="22">
        <v>2500000</v>
      </c>
    </row>
    <row r="7" spans="1:5" x14ac:dyDescent="0.3">
      <c r="A7" s="18" t="s">
        <v>11</v>
      </c>
      <c r="B7" t="s">
        <v>25</v>
      </c>
      <c r="C7" s="21">
        <v>800000</v>
      </c>
      <c r="D7" s="21">
        <f t="shared" si="0"/>
        <v>1533333.3333333333</v>
      </c>
      <c r="E7" s="22">
        <v>1000000</v>
      </c>
    </row>
    <row r="8" spans="1:5" x14ac:dyDescent="0.3">
      <c r="A8" s="19" t="s">
        <v>10</v>
      </c>
      <c r="B8" s="20" t="s">
        <v>24</v>
      </c>
      <c r="C8" s="23">
        <v>1400000</v>
      </c>
      <c r="D8" s="21">
        <f t="shared" si="0"/>
        <v>1533333.3333333333</v>
      </c>
      <c r="E8" s="24">
        <v>1000000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2026-07-17T10:41:30Z</cp:lastPrinted>
  <dcterms:created xsi:type="dcterms:W3CDTF">2015-06-05T18:17:20Z</dcterms:created>
  <dcterms:modified xsi:type="dcterms:W3CDTF">2026-07-17T14:26:25Z</dcterms:modified>
</cp:coreProperties>
</file>