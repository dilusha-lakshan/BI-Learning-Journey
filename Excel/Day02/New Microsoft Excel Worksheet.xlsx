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BI-Learning-Journey\Excel\Day02\"/>
    </mc:Choice>
  </mc:AlternateContent>
  <xr:revisionPtr revIDLastSave="0" documentId="13_ncr:1_{77895156-AC8C-4576-9B85-2F47E33D10F3}" xr6:coauthVersionLast="47" xr6:coauthVersionMax="47" xr10:uidLastSave="{00000000-0000-0000-0000-000000000000}"/>
  <bookViews>
    <workbookView xWindow="-108" yWindow="-108" windowWidth="23256" windowHeight="12456" activeTab="3" xr2:uid="{00000000-000D-0000-FFFF-FFFF00000000}"/>
  </bookViews>
  <sheets>
    <sheet name="Table" sheetId="1" r:id="rId1"/>
    <sheet name="Pivot Table" sheetId="2" r:id="rId2"/>
    <sheet name="Pivot - Advanced" sheetId="3" r:id="rId3"/>
    <sheet name="Akila" sheetId="23" r:id="rId4"/>
    <sheet name="Chamod" sheetId="22" r:id="rId5"/>
    <sheet name="Dhanushka" sheetId="21" r:id="rId6"/>
    <sheet name="Dimuthu" sheetId="20" r:id="rId7"/>
    <sheet name="Harsha" sheetId="19" r:id="rId8"/>
    <sheet name="Hasitha" sheetId="18" r:id="rId9"/>
    <sheet name="Isuru" sheetId="17" r:id="rId10"/>
    <sheet name="Janith" sheetId="16" r:id="rId11"/>
    <sheet name="Kasun" sheetId="15" r:id="rId12"/>
    <sheet name="Lakshan" sheetId="14" r:id="rId13"/>
    <sheet name="Malith" sheetId="13" r:id="rId14"/>
    <sheet name="Naveen" sheetId="12" r:id="rId15"/>
    <sheet name="Nimal" sheetId="11" r:id="rId16"/>
    <sheet name="Praveen" sheetId="10" r:id="rId17"/>
    <sheet name="Ravindu" sheetId="9" r:id="rId18"/>
    <sheet name="Ruwan" sheetId="8" r:id="rId19"/>
    <sheet name="Sahan" sheetId="7" r:id="rId20"/>
    <sheet name="Shehan" sheetId="6" r:id="rId21"/>
    <sheet name="Sheet23" sheetId="24" r:id="rId22"/>
  </sheets>
  <definedNames>
    <definedName name="Slicer_Customer">#N/A</definedName>
    <definedName name="Slicer_Name">#N/A</definedName>
    <definedName name="Slicer_Town">#N/A</definedName>
  </definedNames>
  <calcPr calcId="191029"/>
  <pivotCaches>
    <pivotCache cacheId="4" r:id="rId23"/>
    <pivotCache cacheId="29" r:id="rId24"/>
  </pivotCaches>
  <extLs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1" l="1"/>
  <c r="I22" i="1"/>
</calcChain>
</file>

<file path=xl/sharedStrings.xml><?xml version="1.0" encoding="utf-8"?>
<sst xmlns="http://schemas.openxmlformats.org/spreadsheetml/2006/main" count="375" uniqueCount="130">
  <si>
    <t>Order ID</t>
  </si>
  <si>
    <t>Customer</t>
  </si>
  <si>
    <t>City</t>
  </si>
  <si>
    <t>Category</t>
  </si>
  <si>
    <t>Product</t>
  </si>
  <si>
    <t>Quantity</t>
  </si>
  <si>
    <t>Unit Price</t>
  </si>
  <si>
    <t>Discount (%)</t>
  </si>
  <si>
    <t>Salesperson</t>
  </si>
  <si>
    <t>Alice</t>
  </si>
  <si>
    <t>Colombo</t>
  </si>
  <si>
    <t>Electronics</t>
  </si>
  <si>
    <t>Mouse</t>
  </si>
  <si>
    <t>Kamal</t>
  </si>
  <si>
    <t>Bob</t>
  </si>
  <si>
    <t>Kandy</t>
  </si>
  <si>
    <t>Stationery</t>
  </si>
  <si>
    <t>Notebook</t>
  </si>
  <si>
    <t>Nimal</t>
  </si>
  <si>
    <t>Charlie</t>
  </si>
  <si>
    <t>Galle</t>
  </si>
  <si>
    <t>Keyboard</t>
  </si>
  <si>
    <t>Saman</t>
  </si>
  <si>
    <t>David</t>
  </si>
  <si>
    <t>Jaffna</t>
  </si>
  <si>
    <t>Furniture</t>
  </si>
  <si>
    <t>Chair</t>
  </si>
  <si>
    <t>Emma</t>
  </si>
  <si>
    <t>Matara</t>
  </si>
  <si>
    <t>Pen Pack</t>
  </si>
  <si>
    <t>Frank</t>
  </si>
  <si>
    <t>Monitor</t>
  </si>
  <si>
    <t>Grace</t>
  </si>
  <si>
    <t>Kurunegala</t>
  </si>
  <si>
    <t>Table</t>
  </si>
  <si>
    <t>Harry</t>
  </si>
  <si>
    <t>Webcam</t>
  </si>
  <si>
    <t>Isabella</t>
  </si>
  <si>
    <t>File</t>
  </si>
  <si>
    <t>Jack</t>
  </si>
  <si>
    <t>SSD</t>
  </si>
  <si>
    <t>Kevin</t>
  </si>
  <si>
    <t>Bookshelf</t>
  </si>
  <si>
    <t>Lisa</t>
  </si>
  <si>
    <t>Negombo</t>
  </si>
  <si>
    <t>Printer</t>
  </si>
  <si>
    <t>Mike</t>
  </si>
  <si>
    <t>Marker</t>
  </si>
  <si>
    <t>Nina</t>
  </si>
  <si>
    <t>Speaker</t>
  </si>
  <si>
    <t>Owen</t>
  </si>
  <si>
    <t>Desk</t>
  </si>
  <si>
    <t>Paul</t>
  </si>
  <si>
    <t>Laptop</t>
  </si>
  <si>
    <t>Queen</t>
  </si>
  <si>
    <t>Stapler</t>
  </si>
  <si>
    <t>Ryan</t>
  </si>
  <si>
    <t>Headphones</t>
  </si>
  <si>
    <t>Sophia</t>
  </si>
  <si>
    <t>Cabinet</t>
  </si>
  <si>
    <t>Tom</t>
  </si>
  <si>
    <t>Router</t>
  </si>
  <si>
    <t>Total</t>
  </si>
  <si>
    <t>SALES DATA FOR SEPTEMBER</t>
  </si>
  <si>
    <t>Name</t>
  </si>
  <si>
    <t>Actual Sales</t>
  </si>
  <si>
    <t>Average Actual Sales</t>
  </si>
  <si>
    <t>Estimated Sales</t>
  </si>
  <si>
    <t>Dilusha</t>
  </si>
  <si>
    <t>Chilaw</t>
  </si>
  <si>
    <t>LKR 2,500,000.00</t>
  </si>
  <si>
    <t>LKR 1,533,333.33</t>
  </si>
  <si>
    <t>LKR 3,000,000.00</t>
  </si>
  <si>
    <t>Sehansa</t>
  </si>
  <si>
    <t>Embilipitya</t>
  </si>
  <si>
    <t>LKR 1,000,000.00</t>
  </si>
  <si>
    <t>LKR 750,000.00</t>
  </si>
  <si>
    <t>Sithum</t>
  </si>
  <si>
    <t>LKR 1,500,000.00</t>
  </si>
  <si>
    <t>LKR 1,200,000.00</t>
  </si>
  <si>
    <t>Pasindu</t>
  </si>
  <si>
    <t>LKR 2,000,000.00</t>
  </si>
  <si>
    <t>Saranga</t>
  </si>
  <si>
    <t>LKR 800,000.00</t>
  </si>
  <si>
    <t>Kavindu</t>
  </si>
  <si>
    <t>LKR 1,400,000.00</t>
  </si>
  <si>
    <t>Row Labels</t>
  </si>
  <si>
    <t>Grand Total</t>
  </si>
  <si>
    <t>Town</t>
  </si>
  <si>
    <t xml:space="preserve">Actual Sales </t>
  </si>
  <si>
    <t>Kasun</t>
  </si>
  <si>
    <t>Tharindu</t>
  </si>
  <si>
    <t>Chamod</t>
  </si>
  <si>
    <t>Isuru</t>
  </si>
  <si>
    <t>Malith</t>
  </si>
  <si>
    <t>Badulla</t>
  </si>
  <si>
    <t>Dhanushka</t>
  </si>
  <si>
    <t>Sahan</t>
  </si>
  <si>
    <t>Ravindu</t>
  </si>
  <si>
    <t>Ratnapura</t>
  </si>
  <si>
    <t>Akila</t>
  </si>
  <si>
    <t>Anuradhapura</t>
  </si>
  <si>
    <t>Praveen</t>
  </si>
  <si>
    <t>Janith</t>
  </si>
  <si>
    <t>Naveen</t>
  </si>
  <si>
    <t>Kegalle</t>
  </si>
  <si>
    <t>Shehan</t>
  </si>
  <si>
    <t>Hambantota</t>
  </si>
  <si>
    <t>Dimuthu</t>
  </si>
  <si>
    <t>Matale</t>
  </si>
  <si>
    <t>Hasitha</t>
  </si>
  <si>
    <t>Monaragala</t>
  </si>
  <si>
    <t>Lakshan</t>
  </si>
  <si>
    <t>Kalutara</t>
  </si>
  <si>
    <t>Vimukthi</t>
  </si>
  <si>
    <t>Nuwara Eliya</t>
  </si>
  <si>
    <t>Harsha</t>
  </si>
  <si>
    <t>Trincomalee</t>
  </si>
  <si>
    <t>Ruwan</t>
  </si>
  <si>
    <t>Polonnaruwa</t>
  </si>
  <si>
    <t>Sales Data for September</t>
  </si>
  <si>
    <t>Sum of Actual Sales</t>
  </si>
  <si>
    <t>Sum of Difference</t>
  </si>
  <si>
    <t>(All)</t>
  </si>
  <si>
    <t>Western Province</t>
  </si>
  <si>
    <t>Central Province</t>
  </si>
  <si>
    <t>Southern Province</t>
  </si>
  <si>
    <t>North Central Province</t>
  </si>
  <si>
    <t>Uva Province</t>
  </si>
  <si>
    <t>Sabaragamuwa Province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</si>
</sst>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LKR]\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14" fontId="0" fillId="0" borderId="0" xfId="0" applyNumberFormat="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applyAlignment="1">
      <alignment horizontal="center"/>
    </xf>
    <xf numFmtId="0" fontId="1" fillId="0" borderId="1" xfId="0" applyFont="1" applyBorder="1"/>
    <xf numFmtId="0" fontId="1" fillId="0" borderId="2" xfId="0" applyFont="1" applyBorder="1"/>
    <xf numFmtId="0" fontId="1" fillId="0" borderId="3" xfId="0" applyFont="1" applyBorder="1"/>
    <xf numFmtId="0" fontId="0" fillId="3" borderId="0" xfId="0" applyFill="1" applyAlignment="1"/>
    <xf numFmtId="0" fontId="0" fillId="2" borderId="7" xfId="0"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68"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1" fillId="2" borderId="0" xfId="0" applyFont="1" applyFill="1" applyAlignment="1">
      <alignment horizontal="center"/>
    </xf>
    <xf numFmtId="4" fontId="0" fillId="0" borderId="0" xfId="0" applyNumberFormat="1" applyAlignment="1">
      <alignment vertical="center" wrapText="1"/>
    </xf>
    <xf numFmtId="40" fontId="0" fillId="0" borderId="0" xfId="0" applyNumberFormat="1"/>
  </cellXfs>
  <cellStyles count="1">
    <cellStyle name="Normal" xfId="0" builtinId="0"/>
  </cellStyles>
  <dxfs count="7">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3.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 Advanced!PivotTable4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Advanced'!$H$3</c:f>
              <c:strCache>
                <c:ptCount val="1"/>
                <c:pt idx="0">
                  <c:v>Sum of Actual Sales</c:v>
                </c:pt>
              </c:strCache>
            </c:strRef>
          </c:tx>
          <c:spPr>
            <a:solidFill>
              <a:schemeClr val="accent1"/>
            </a:solidFill>
            <a:ln>
              <a:noFill/>
            </a:ln>
            <a:effectLst/>
          </c:spPr>
          <c:invertIfNegative val="0"/>
          <c:cat>
            <c:multiLvlStrRef>
              <c:f>'Pivot - Advanced'!$G$4:$G$31</c:f>
              <c:multiLvlStrCache>
                <c:ptCount val="18"/>
                <c:lvl>
                  <c:pt idx="0">
                    <c:v>Anuradhapura</c:v>
                  </c:pt>
                  <c:pt idx="1">
                    <c:v>Polonnaruwa</c:v>
                  </c:pt>
                  <c:pt idx="2">
                    <c:v>Monaragala</c:v>
                  </c:pt>
                  <c:pt idx="3">
                    <c:v>Badulla</c:v>
                  </c:pt>
                  <c:pt idx="4">
                    <c:v>Colombo</c:v>
                  </c:pt>
                  <c:pt idx="5">
                    <c:v>Kalutara</c:v>
                  </c:pt>
                  <c:pt idx="6">
                    <c:v>Negombo</c:v>
                  </c:pt>
                  <c:pt idx="7">
                    <c:v>Hambantota</c:v>
                  </c:pt>
                  <c:pt idx="8">
                    <c:v>Galle</c:v>
                  </c:pt>
                  <c:pt idx="9">
                    <c:v>Matara</c:v>
                  </c:pt>
                  <c:pt idx="10">
                    <c:v>Jaffna</c:v>
                  </c:pt>
                  <c:pt idx="11">
                    <c:v>Matale</c:v>
                  </c:pt>
                  <c:pt idx="12">
                    <c:v>Kandy</c:v>
                  </c:pt>
                  <c:pt idx="13">
                    <c:v>Nuwara Eliya</c:v>
                  </c:pt>
                  <c:pt idx="14">
                    <c:v>Kegalle</c:v>
                  </c:pt>
                  <c:pt idx="15">
                    <c:v>Ratnapura</c:v>
                  </c:pt>
                  <c:pt idx="16">
                    <c:v>Kurunegala</c:v>
                  </c:pt>
                  <c:pt idx="17">
                    <c:v>Trincomalee</c:v>
                  </c:pt>
                </c:lvl>
                <c:lvl>
                  <c:pt idx="0">
                    <c:v>North Central Province</c:v>
                  </c:pt>
                  <c:pt idx="2">
                    <c:v>Uva Province</c:v>
                  </c:pt>
                  <c:pt idx="4">
                    <c:v>Western Province</c:v>
                  </c:pt>
                  <c:pt idx="7">
                    <c:v>Southern Province</c:v>
                  </c:pt>
                  <c:pt idx="10">
                    <c:v>Jaffna</c:v>
                  </c:pt>
                  <c:pt idx="11">
                    <c:v>Central Province</c:v>
                  </c:pt>
                  <c:pt idx="14">
                    <c:v>Sabaragamuwa Province</c:v>
                  </c:pt>
                  <c:pt idx="16">
                    <c:v>Kurunegala</c:v>
                  </c:pt>
                  <c:pt idx="17">
                    <c:v>Trincomalee</c:v>
                  </c:pt>
                </c:lvl>
              </c:multiLvlStrCache>
            </c:multiLvlStrRef>
          </c:cat>
          <c:val>
            <c:numRef>
              <c:f>'Pivot - Advanced'!$H$4:$H$31</c:f>
              <c:numCache>
                <c:formatCode>[$LKR]\ #,##0.00</c:formatCode>
                <c:ptCount val="18"/>
                <c:pt idx="0">
                  <c:v>2200000</c:v>
                </c:pt>
                <c:pt idx="1">
                  <c:v>1750000</c:v>
                </c:pt>
                <c:pt idx="2">
                  <c:v>1900000</c:v>
                </c:pt>
                <c:pt idx="3">
                  <c:v>1400000</c:v>
                </c:pt>
                <c:pt idx="4">
                  <c:v>3200000</c:v>
                </c:pt>
                <c:pt idx="5">
                  <c:v>1450000</c:v>
                </c:pt>
                <c:pt idx="6">
                  <c:v>1200000</c:v>
                </c:pt>
                <c:pt idx="7">
                  <c:v>2800000</c:v>
                </c:pt>
                <c:pt idx="8">
                  <c:v>2000000</c:v>
                </c:pt>
                <c:pt idx="9">
                  <c:v>1500000</c:v>
                </c:pt>
                <c:pt idx="10">
                  <c:v>1800000</c:v>
                </c:pt>
                <c:pt idx="11">
                  <c:v>1100000</c:v>
                </c:pt>
                <c:pt idx="12">
                  <c:v>1000000</c:v>
                </c:pt>
                <c:pt idx="13">
                  <c:v>650000</c:v>
                </c:pt>
                <c:pt idx="14">
                  <c:v>1300000</c:v>
                </c:pt>
                <c:pt idx="15">
                  <c:v>900000</c:v>
                </c:pt>
                <c:pt idx="16">
                  <c:v>2400000</c:v>
                </c:pt>
                <c:pt idx="17">
                  <c:v>2100000</c:v>
                </c:pt>
              </c:numCache>
            </c:numRef>
          </c:val>
          <c:extLst>
            <c:ext xmlns:c16="http://schemas.microsoft.com/office/drawing/2014/chart" uri="{C3380CC4-5D6E-409C-BE32-E72D297353CC}">
              <c16:uniqueId val="{00000000-50A0-4A2E-A7B0-36E6F680E4E0}"/>
            </c:ext>
          </c:extLst>
        </c:ser>
        <c:ser>
          <c:idx val="1"/>
          <c:order val="1"/>
          <c:tx>
            <c:strRef>
              <c:f>'Pivot - Advanced'!$I$3</c:f>
              <c:strCache>
                <c:ptCount val="1"/>
                <c:pt idx="0">
                  <c:v>Sum of Difference</c:v>
                </c:pt>
              </c:strCache>
            </c:strRef>
          </c:tx>
          <c:spPr>
            <a:solidFill>
              <a:srgbClr val="00B050"/>
            </a:solidFill>
            <a:ln>
              <a:noFill/>
            </a:ln>
            <a:effectLst/>
          </c:spPr>
          <c:invertIfNegative val="1"/>
          <c:cat>
            <c:multiLvlStrRef>
              <c:f>'Pivot - Advanced'!$G$4:$G$31</c:f>
              <c:multiLvlStrCache>
                <c:ptCount val="18"/>
                <c:lvl>
                  <c:pt idx="0">
                    <c:v>Anuradhapura</c:v>
                  </c:pt>
                  <c:pt idx="1">
                    <c:v>Polonnaruwa</c:v>
                  </c:pt>
                  <c:pt idx="2">
                    <c:v>Monaragala</c:v>
                  </c:pt>
                  <c:pt idx="3">
                    <c:v>Badulla</c:v>
                  </c:pt>
                  <c:pt idx="4">
                    <c:v>Colombo</c:v>
                  </c:pt>
                  <c:pt idx="5">
                    <c:v>Kalutara</c:v>
                  </c:pt>
                  <c:pt idx="6">
                    <c:v>Negombo</c:v>
                  </c:pt>
                  <c:pt idx="7">
                    <c:v>Hambantota</c:v>
                  </c:pt>
                  <c:pt idx="8">
                    <c:v>Galle</c:v>
                  </c:pt>
                  <c:pt idx="9">
                    <c:v>Matara</c:v>
                  </c:pt>
                  <c:pt idx="10">
                    <c:v>Jaffna</c:v>
                  </c:pt>
                  <c:pt idx="11">
                    <c:v>Matale</c:v>
                  </c:pt>
                  <c:pt idx="12">
                    <c:v>Kandy</c:v>
                  </c:pt>
                  <c:pt idx="13">
                    <c:v>Nuwara Eliya</c:v>
                  </c:pt>
                  <c:pt idx="14">
                    <c:v>Kegalle</c:v>
                  </c:pt>
                  <c:pt idx="15">
                    <c:v>Ratnapura</c:v>
                  </c:pt>
                  <c:pt idx="16">
                    <c:v>Kurunegala</c:v>
                  </c:pt>
                  <c:pt idx="17">
                    <c:v>Trincomalee</c:v>
                  </c:pt>
                </c:lvl>
                <c:lvl>
                  <c:pt idx="0">
                    <c:v>North Central Province</c:v>
                  </c:pt>
                  <c:pt idx="2">
                    <c:v>Uva Province</c:v>
                  </c:pt>
                  <c:pt idx="4">
                    <c:v>Western Province</c:v>
                  </c:pt>
                  <c:pt idx="7">
                    <c:v>Southern Province</c:v>
                  </c:pt>
                  <c:pt idx="10">
                    <c:v>Jaffna</c:v>
                  </c:pt>
                  <c:pt idx="11">
                    <c:v>Central Province</c:v>
                  </c:pt>
                  <c:pt idx="14">
                    <c:v>Sabaragamuwa Province</c:v>
                  </c:pt>
                  <c:pt idx="16">
                    <c:v>Kurunegala</c:v>
                  </c:pt>
                  <c:pt idx="17">
                    <c:v>Trincomalee</c:v>
                  </c:pt>
                </c:lvl>
              </c:multiLvlStrCache>
            </c:multiLvlStrRef>
          </c:cat>
          <c:val>
            <c:numRef>
              <c:f>'Pivot - Advanced'!$I$4:$I$31</c:f>
              <c:numCache>
                <c:formatCode>#,##0.00_);[Red]\(#,##0.00\)</c:formatCode>
                <c:ptCount val="18"/>
                <c:pt idx="0">
                  <c:v>500000</c:v>
                </c:pt>
                <c:pt idx="1">
                  <c:v>250000</c:v>
                </c:pt>
                <c:pt idx="2">
                  <c:v>200000</c:v>
                </c:pt>
                <c:pt idx="3">
                  <c:v>-400000</c:v>
                </c:pt>
                <c:pt idx="4">
                  <c:v>700000</c:v>
                </c:pt>
                <c:pt idx="5">
                  <c:v>250000</c:v>
                </c:pt>
                <c:pt idx="6">
                  <c:v>300000</c:v>
                </c:pt>
                <c:pt idx="7">
                  <c:v>400000</c:v>
                </c:pt>
                <c:pt idx="8">
                  <c:v>500000</c:v>
                </c:pt>
                <c:pt idx="9">
                  <c:v>-300000</c:v>
                </c:pt>
                <c:pt idx="10">
                  <c:v>200000</c:v>
                </c:pt>
                <c:pt idx="11">
                  <c:v>150000</c:v>
                </c:pt>
                <c:pt idx="12">
                  <c:v>-250000</c:v>
                </c:pt>
                <c:pt idx="13">
                  <c:v>150000</c:v>
                </c:pt>
                <c:pt idx="14">
                  <c:v>300000</c:v>
                </c:pt>
                <c:pt idx="15">
                  <c:v>-50000</c:v>
                </c:pt>
                <c:pt idx="16">
                  <c:v>400000</c:v>
                </c:pt>
                <c:pt idx="17">
                  <c:v>300000</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1-50A0-4A2E-A7B0-36E6F680E4E0}"/>
            </c:ext>
          </c:extLst>
        </c:ser>
        <c:dLbls>
          <c:showLegendKey val="0"/>
          <c:showVal val="0"/>
          <c:showCatName val="0"/>
          <c:showSerName val="0"/>
          <c:showPercent val="0"/>
          <c:showBubbleSize val="0"/>
        </c:dLbls>
        <c:gapWidth val="219"/>
        <c:overlap val="-27"/>
        <c:axId val="1384733488"/>
        <c:axId val="1384735408"/>
      </c:barChart>
      <c:catAx>
        <c:axId val="138473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735408"/>
        <c:crosses val="autoZero"/>
        <c:auto val="1"/>
        <c:lblAlgn val="ctr"/>
        <c:lblOffset val="100"/>
        <c:noMultiLvlLbl val="0"/>
      </c:catAx>
      <c:valAx>
        <c:axId val="1384735408"/>
        <c:scaling>
          <c:orientation val="minMax"/>
        </c:scaling>
        <c:delete val="0"/>
        <c:axPos val="l"/>
        <c:majorGridlines>
          <c:spPr>
            <a:ln w="9525" cap="flat" cmpd="sng" algn="ctr">
              <a:solidFill>
                <a:schemeClr val="tx1">
                  <a:lumMod val="15000"/>
                  <a:lumOff val="85000"/>
                </a:schemeClr>
              </a:solidFill>
              <a:round/>
            </a:ln>
            <a:effectLst/>
          </c:spPr>
        </c:majorGridlines>
        <c:numFmt formatCode="[$LK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73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10</xdr:col>
      <xdr:colOff>0</xdr:colOff>
      <xdr:row>1</xdr:row>
      <xdr:rowOff>22860</xdr:rowOff>
    </xdr:from>
    <xdr:to>
      <xdr:col>13</xdr:col>
      <xdr:colOff>0</xdr:colOff>
      <xdr:row>14</xdr:row>
      <xdr:rowOff>112395</xdr:rowOff>
    </xdr:to>
    <mc:AlternateContent xmlns:mc="http://schemas.openxmlformats.org/markup-compatibility/2006">
      <mc:Choice xmlns:sle15="http://schemas.microsoft.com/office/drawing/2012/slicer" Requires="sle15">
        <xdr:graphicFrame macro="">
          <xdr:nvGraphicFramePr>
            <xdr:cNvPr id="5" name="Customer">
              <a:extLst>
                <a:ext uri="{FF2B5EF4-FFF2-40B4-BE49-F238E27FC236}">
                  <a16:creationId xmlns:a16="http://schemas.microsoft.com/office/drawing/2014/main" id="{F0A453BA-4C08-4735-29CC-A2D3C085B19F}"/>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7287491" y="202969"/>
              <a:ext cx="1828800" cy="243095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268941</xdr:colOff>
      <xdr:row>2</xdr:row>
      <xdr:rowOff>139826</xdr:rowOff>
    </xdr:from>
    <xdr:to>
      <xdr:col>35</xdr:col>
      <xdr:colOff>154638</xdr:colOff>
      <xdr:row>48</xdr:row>
      <xdr:rowOff>44823</xdr:rowOff>
    </xdr:to>
    <xdr:graphicFrame macro="">
      <xdr:nvGraphicFramePr>
        <xdr:cNvPr id="2" name="Chart 1">
          <a:extLst>
            <a:ext uri="{FF2B5EF4-FFF2-40B4-BE49-F238E27FC236}">
              <a16:creationId xmlns:a16="http://schemas.microsoft.com/office/drawing/2014/main" id="{1AF894A6-B6A2-8AED-290C-4E35E66E9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913102</xdr:colOff>
      <xdr:row>2</xdr:row>
      <xdr:rowOff>44666</xdr:rowOff>
    </xdr:from>
    <xdr:to>
      <xdr:col>13</xdr:col>
      <xdr:colOff>6760</xdr:colOff>
      <xdr:row>15</xdr:row>
      <xdr:rowOff>159997</xdr:rowOff>
    </xdr:to>
    <mc:AlternateContent xmlns:mc="http://schemas.openxmlformats.org/markup-compatibility/2006">
      <mc:Choice xmlns:a14="http://schemas.microsoft.com/office/drawing/2010/main" Requires="a14">
        <xdr:graphicFrame macro="">
          <xdr:nvGraphicFramePr>
            <xdr:cNvPr id="3" name="Name">
              <a:extLst>
                <a:ext uri="{FF2B5EF4-FFF2-40B4-BE49-F238E27FC236}">
                  <a16:creationId xmlns:a16="http://schemas.microsoft.com/office/drawing/2014/main" id="{10BC45BA-9F8D-94EE-03D2-EA7F59155EAC}"/>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0415690" y="403254"/>
              <a:ext cx="1805482" cy="2446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29731</xdr:colOff>
      <xdr:row>2</xdr:row>
      <xdr:rowOff>31824</xdr:rowOff>
    </xdr:from>
    <xdr:to>
      <xdr:col>16</xdr:col>
      <xdr:colOff>354020</xdr:colOff>
      <xdr:row>15</xdr:row>
      <xdr:rowOff>149952</xdr:rowOff>
    </xdr:to>
    <mc:AlternateContent xmlns:mc="http://schemas.openxmlformats.org/markup-compatibility/2006">
      <mc:Choice xmlns:a14="http://schemas.microsoft.com/office/drawing/2010/main" Requires="a14">
        <xdr:graphicFrame macro="">
          <xdr:nvGraphicFramePr>
            <xdr:cNvPr id="4" name="Town">
              <a:extLst>
                <a:ext uri="{FF2B5EF4-FFF2-40B4-BE49-F238E27FC236}">
                  <a16:creationId xmlns:a16="http://schemas.microsoft.com/office/drawing/2014/main" id="{563E55A9-829B-02DE-1119-3E9B61206E57}"/>
                </a:ext>
              </a:extLst>
            </xdr:cNvPr>
            <xdr:cNvGraphicFramePr/>
          </xdr:nvGraphicFramePr>
          <xdr:xfrm>
            <a:off x="0" y="0"/>
            <a:ext cx="0" cy="0"/>
          </xdr:xfrm>
          <a:graphic>
            <a:graphicData uri="http://schemas.microsoft.com/office/drawing/2010/slicer">
              <sle:slicer xmlns:sle="http://schemas.microsoft.com/office/drawing/2010/slicer" name="Town"/>
            </a:graphicData>
          </a:graphic>
        </xdr:graphicFrame>
      </mc:Choice>
      <mc:Fallback>
        <xdr:sp macro="" textlink="">
          <xdr:nvSpPr>
            <xdr:cNvPr id="0" name=""/>
            <xdr:cNvSpPr>
              <a:spLocks noTextEdit="1"/>
            </xdr:cNvSpPr>
          </xdr:nvSpPr>
          <xdr:spPr>
            <a:xfrm>
              <a:off x="12244143" y="390412"/>
              <a:ext cx="1803465" cy="2448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22.859478587961" createdVersion="8" refreshedVersion="8" minRefreshableVersion="3" recordCount="6" xr:uid="{25963A38-1BC6-45F4-BB2A-2B4823F1CA0A}">
  <cacheSource type="worksheet">
    <worksheetSource ref="A2:E8" sheet="Pivot Table"/>
  </cacheSource>
  <cacheFields count="5">
    <cacheField name="Name" numFmtId="0">
      <sharedItems/>
    </cacheField>
    <cacheField name="District" numFmtId="0">
      <sharedItems count="3">
        <s v="Chilaw"/>
        <s v="Embilipitya"/>
        <s v="Galle"/>
      </sharedItems>
    </cacheField>
    <cacheField name="Actual Sales" numFmtId="0">
      <sharedItems count="6">
        <s v="LKR 2,500,000.00"/>
        <s v="LKR 1,000,000.00"/>
        <s v="LKR 1,500,000.00"/>
        <s v="LKR 2,000,000.00"/>
        <s v="LKR 800,000.00"/>
        <s v="LKR 1,400,000.00"/>
      </sharedItems>
    </cacheField>
    <cacheField name="Average Actual Sales" numFmtId="0">
      <sharedItems/>
    </cacheField>
    <cacheField name="Estimated Sale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22.903972800923" createdVersion="8" refreshedVersion="8" minRefreshableVersion="3" recordCount="20" xr:uid="{1E989C2C-BFC5-4F05-9918-D72F44456561}">
  <cacheSource type="worksheet">
    <worksheetSource name="Table3"/>
  </cacheSource>
  <cacheFields count="7">
    <cacheField name="Name" numFmtId="0">
      <sharedItems count="20">
        <s v="Nimal"/>
        <s v="Kasun"/>
        <s v="Tharindu"/>
        <s v="Chamod"/>
        <s v="Isuru"/>
        <s v="Malith"/>
        <s v="Dhanushka"/>
        <s v="Sahan"/>
        <s v="Ravindu"/>
        <s v="Akila"/>
        <s v="Praveen"/>
        <s v="Janith"/>
        <s v="Naveen"/>
        <s v="Shehan"/>
        <s v="Dimuthu"/>
        <s v="Hasitha"/>
        <s v="Lakshan"/>
        <s v="Vimukthi"/>
        <s v="Harsha"/>
        <s v="Ruwan"/>
      </sharedItems>
    </cacheField>
    <cacheField name="Town" numFmtId="0">
      <sharedItems count="18">
        <s v="Colombo"/>
        <s v="Kandy"/>
        <s v="Matara"/>
        <s v="Galle"/>
        <s v="Kurunegala"/>
        <s v="Badulla"/>
        <s v="Jaffna"/>
        <s v="Negombo"/>
        <s v="Ratnapura"/>
        <s v="Anuradhapura"/>
        <s v="Kegalle"/>
        <s v="Hambantota"/>
        <s v="Matale"/>
        <s v="Monaragala"/>
        <s v="Kalutara"/>
        <s v="Nuwara Eliya"/>
        <s v="Trincomalee"/>
        <s v="Polonnaruwa"/>
      </sharedItems>
      <fieldGroup par="6"/>
    </cacheField>
    <cacheField name="Actual Sales" numFmtId="4">
      <sharedItems containsSemiMixedTypes="0" containsString="0" containsNumber="1" containsInteger="1" minValue="650000" maxValue="2800000"/>
    </cacheField>
    <cacheField name="Average Actual Sales" numFmtId="4">
      <sharedItems containsSemiMixedTypes="0" containsString="0" containsNumber="1" minValue="1533333.33" maxValue="1533333.33"/>
    </cacheField>
    <cacheField name="Estimated Sales" numFmtId="4">
      <sharedItems containsSemiMixedTypes="0" containsString="0" containsNumber="1" containsInteger="1" minValue="750000" maxValue="3200000"/>
    </cacheField>
    <cacheField name="Difference" numFmtId="0" formula="'Estimated Sales'-'Actual Sales'" databaseField="0"/>
    <cacheField name="Town2" numFmtId="0" databaseField="0">
      <fieldGroup base="1">
        <discretePr count="18">
          <x v="3"/>
          <x v="4"/>
          <x v="5"/>
          <x v="5"/>
          <x v="0"/>
          <x v="7"/>
          <x v="1"/>
          <x v="3"/>
          <x v="8"/>
          <x v="6"/>
          <x v="8"/>
          <x v="5"/>
          <x v="4"/>
          <x v="7"/>
          <x v="3"/>
          <x v="4"/>
          <x v="2"/>
          <x v="6"/>
        </discretePr>
        <groupItems count="9">
          <s v="Kurunegala"/>
          <s v="Jaffna"/>
          <s v="Trincomalee"/>
          <s v="Group1"/>
          <s v="Group2"/>
          <s v="Group3"/>
          <s v="Group4"/>
          <s v="Group5"/>
          <s v="Group6"/>
        </groupItems>
      </fieldGroup>
    </cacheField>
  </cacheFields>
  <extLst>
    <ext xmlns:x14="http://schemas.microsoft.com/office/spreadsheetml/2009/9/main" uri="{725AE2AE-9491-48be-B2B4-4EB974FC3084}">
      <x14:pivotCacheDefinition pivotCacheId="538887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Dilusha"/>
    <x v="0"/>
    <x v="0"/>
    <s v="LKR 1,533,333.33"/>
    <s v="LKR 3,000,000.00"/>
  </r>
  <r>
    <s v="Sehansa"/>
    <x v="1"/>
    <x v="1"/>
    <s v="LKR 1,533,333.33"/>
    <s v="LKR 750,000.00"/>
  </r>
  <r>
    <s v="Sithum"/>
    <x v="0"/>
    <x v="2"/>
    <s v="LKR 1,533,333.33"/>
    <s v="LKR 1,200,000.00"/>
  </r>
  <r>
    <s v="Pasindu"/>
    <x v="0"/>
    <x v="3"/>
    <s v="LKR 1,533,333.33"/>
    <s v="LKR 2,500,000.00"/>
  </r>
  <r>
    <s v="Saranga"/>
    <x v="2"/>
    <x v="4"/>
    <s v="LKR 1,533,333.33"/>
    <s v="LKR 1,000,000.00"/>
  </r>
  <r>
    <s v="Kavindu"/>
    <x v="1"/>
    <x v="5"/>
    <s v="LKR 1,533,333.33"/>
    <s v="LKR 1,0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2500000"/>
    <n v="1533333.33"/>
    <n v="3000000"/>
  </r>
  <r>
    <x v="1"/>
    <x v="1"/>
    <n v="1000000"/>
    <n v="1533333.33"/>
    <n v="750000"/>
  </r>
  <r>
    <x v="2"/>
    <x v="2"/>
    <n v="1500000"/>
    <n v="1533333.33"/>
    <n v="1200000"/>
  </r>
  <r>
    <x v="3"/>
    <x v="3"/>
    <n v="2000000"/>
    <n v="1533333.33"/>
    <n v="2500000"/>
  </r>
  <r>
    <x v="4"/>
    <x v="4"/>
    <n v="800000"/>
    <n v="1533333.33"/>
    <n v="1000000"/>
  </r>
  <r>
    <x v="5"/>
    <x v="5"/>
    <n v="1400000"/>
    <n v="1533333.33"/>
    <n v="1000000"/>
  </r>
  <r>
    <x v="6"/>
    <x v="6"/>
    <n v="1800000"/>
    <n v="1533333.33"/>
    <n v="2000000"/>
  </r>
  <r>
    <x v="7"/>
    <x v="7"/>
    <n v="1200000"/>
    <n v="1533333.33"/>
    <n v="1500000"/>
  </r>
  <r>
    <x v="8"/>
    <x v="8"/>
    <n v="900000"/>
    <n v="1533333.33"/>
    <n v="850000"/>
  </r>
  <r>
    <x v="9"/>
    <x v="9"/>
    <n v="2200000"/>
    <n v="1533333.33"/>
    <n v="2700000"/>
  </r>
  <r>
    <x v="10"/>
    <x v="4"/>
    <n v="1600000"/>
    <n v="1533333.33"/>
    <n v="1800000"/>
  </r>
  <r>
    <x v="11"/>
    <x v="0"/>
    <n v="700000"/>
    <n v="1533333.33"/>
    <n v="900000"/>
  </r>
  <r>
    <x v="12"/>
    <x v="10"/>
    <n v="1300000"/>
    <n v="1533333.33"/>
    <n v="1600000"/>
  </r>
  <r>
    <x v="13"/>
    <x v="11"/>
    <n v="2800000"/>
    <n v="1533333.33"/>
    <n v="3200000"/>
  </r>
  <r>
    <x v="14"/>
    <x v="12"/>
    <n v="1100000"/>
    <n v="1533333.33"/>
    <n v="1250000"/>
  </r>
  <r>
    <x v="15"/>
    <x v="13"/>
    <n v="1900000"/>
    <n v="1533333.33"/>
    <n v="2100000"/>
  </r>
  <r>
    <x v="16"/>
    <x v="14"/>
    <n v="1450000"/>
    <n v="1533333.33"/>
    <n v="1700000"/>
  </r>
  <r>
    <x v="17"/>
    <x v="15"/>
    <n v="650000"/>
    <n v="1533333.33"/>
    <n v="800000"/>
  </r>
  <r>
    <x v="18"/>
    <x v="16"/>
    <n v="2100000"/>
    <n v="1533333.33"/>
    <n v="2400000"/>
  </r>
  <r>
    <x v="19"/>
    <x v="17"/>
    <n v="1750000"/>
    <n v="1533333.33"/>
    <n v="2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8EC353-045B-468B-904A-37C7E080049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wn">
  <location ref="G2:H6" firstHeaderRow="1" firstDataRow="1" firstDataCol="1"/>
  <pivotFields count="5">
    <pivotField showAll="0"/>
    <pivotField axis="axisRow" showAll="0">
      <items count="4">
        <item x="0"/>
        <item x="1"/>
        <item x="2"/>
        <item t="default"/>
      </items>
    </pivotField>
    <pivotField dataField="1" showAll="0">
      <items count="7">
        <item x="1"/>
        <item x="5"/>
        <item x="2"/>
        <item x="3"/>
        <item x="0"/>
        <item x="4"/>
        <item t="default"/>
      </items>
    </pivotField>
    <pivotField showAll="0"/>
    <pivotField showAll="0"/>
  </pivotFields>
  <rowFields count="1">
    <field x="1"/>
  </rowFields>
  <rowItems count="4">
    <i>
      <x/>
    </i>
    <i>
      <x v="1"/>
    </i>
    <i>
      <x v="2"/>
    </i>
    <i t="grand">
      <x/>
    </i>
  </rowItems>
  <colItems count="1">
    <i/>
  </colItems>
  <dataFields count="1">
    <dataField name="Actual Sales " fld="2" subtotal="count" baseField="1"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4"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G3:I31"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28">
    <i>
      <x/>
    </i>
    <i r="1">
      <x/>
    </i>
    <i r="1">
      <x v="15"/>
    </i>
    <i>
      <x v="1"/>
    </i>
    <i r="1">
      <x v="12"/>
    </i>
    <i r="1">
      <x v="1"/>
    </i>
    <i>
      <x v="2"/>
    </i>
    <i r="1">
      <x v="2"/>
    </i>
    <i r="1">
      <x v="6"/>
    </i>
    <i r="1">
      <x v="13"/>
    </i>
    <i>
      <x v="3"/>
    </i>
    <i r="1">
      <x v="4"/>
    </i>
    <i r="1">
      <x v="3"/>
    </i>
    <i r="1">
      <x v="11"/>
    </i>
    <i>
      <x v="4"/>
    </i>
    <i r="1">
      <x v="5"/>
    </i>
    <i>
      <x v="5"/>
    </i>
    <i r="1">
      <x v="10"/>
    </i>
    <i r="1">
      <x v="7"/>
    </i>
    <i r="1">
      <x v="14"/>
    </i>
    <i>
      <x v="6"/>
    </i>
    <i r="1">
      <x v="8"/>
    </i>
    <i r="1">
      <x v="16"/>
    </i>
    <i>
      <x v="7"/>
    </i>
    <i r="1">
      <x v="9"/>
    </i>
    <i>
      <x v="8"/>
    </i>
    <i r="1">
      <x v="17"/>
    </i>
    <i t="grand">
      <x/>
    </i>
  </rowItems>
  <colFields count="1">
    <field x="-2"/>
  </colFields>
  <colItems count="2">
    <i>
      <x/>
    </i>
    <i i="1">
      <x v="1"/>
    </i>
  </colItems>
  <pageFields count="1">
    <pageField fld="0"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24"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i>
    <i r="1">
      <x/>
    </i>
    <i t="grand">
      <x/>
    </i>
  </rowItems>
  <colFields count="1">
    <field x="-2"/>
  </colFields>
  <colItems count="2">
    <i>
      <x/>
    </i>
    <i i="1">
      <x v="1"/>
    </i>
  </colItems>
  <pageFields count="1">
    <pageField fld="0" item="0"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23"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3"/>
    </i>
    <i r="1">
      <x v="3"/>
    </i>
    <i t="grand">
      <x/>
    </i>
  </rowItems>
  <colFields count="1">
    <field x="-2"/>
  </colFields>
  <colItems count="2">
    <i>
      <x/>
    </i>
    <i i="1">
      <x v="1"/>
    </i>
  </colItems>
  <pageFields count="1">
    <pageField fld="0" item="1"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22"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4"/>
    </i>
    <i r="1">
      <x v="5"/>
    </i>
    <i t="grand">
      <x/>
    </i>
  </rowItems>
  <colFields count="1">
    <field x="-2"/>
  </colFields>
  <colItems count="2">
    <i>
      <x/>
    </i>
    <i i="1">
      <x v="1"/>
    </i>
  </colItems>
  <pageFields count="1">
    <pageField fld="0" item="2"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21"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5"/>
    </i>
    <i r="1">
      <x v="10"/>
    </i>
    <i t="grand">
      <x/>
    </i>
  </rowItems>
  <colFields count="1">
    <field x="-2"/>
  </colFields>
  <colItems count="2">
    <i>
      <x/>
    </i>
    <i i="1">
      <x v="1"/>
    </i>
  </colItems>
  <pageFields count="1">
    <pageField fld="0" item="3"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20"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8"/>
    </i>
    <i r="1">
      <x v="17"/>
    </i>
    <i t="grand">
      <x/>
    </i>
  </rowItems>
  <colFields count="1">
    <field x="-2"/>
  </colFields>
  <colItems count="2">
    <i>
      <x/>
    </i>
    <i i="1">
      <x v="1"/>
    </i>
  </colItems>
  <pageFields count="1">
    <pageField fld="0" item="4"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19"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1"/>
    </i>
    <i r="1">
      <x v="12"/>
    </i>
    <i t="grand">
      <x/>
    </i>
  </rowItems>
  <colFields count="1">
    <field x="-2"/>
  </colFields>
  <colItems count="2">
    <i>
      <x/>
    </i>
    <i i="1">
      <x v="1"/>
    </i>
  </colItems>
  <pageFields count="1">
    <pageField fld="0" item="5"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18"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7"/>
    </i>
    <i r="1">
      <x v="9"/>
    </i>
    <i t="grand">
      <x/>
    </i>
  </rowItems>
  <colFields count="1">
    <field x="-2"/>
  </colFields>
  <colItems count="2">
    <i>
      <x/>
    </i>
    <i i="1">
      <x v="1"/>
    </i>
  </colItems>
  <pageFields count="1">
    <pageField fld="0" item="6"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17"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2"/>
    </i>
    <i r="1">
      <x v="2"/>
    </i>
    <i t="grand">
      <x/>
    </i>
  </rowItems>
  <colFields count="1">
    <field x="-2"/>
  </colFields>
  <colItems count="2">
    <i>
      <x/>
    </i>
    <i i="1">
      <x v="1"/>
    </i>
  </colItems>
  <pageFields count="1">
    <pageField fld="0" item="7"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16"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5"/>
    </i>
    <i r="1">
      <x v="7"/>
    </i>
    <i t="grand">
      <x/>
    </i>
  </rowItems>
  <colFields count="1">
    <field x="-2"/>
  </colFields>
  <colItems count="2">
    <i>
      <x/>
    </i>
    <i i="1">
      <x v="1"/>
    </i>
  </colItems>
  <pageFields count="1">
    <pageField fld="0" item="8"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15"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2"/>
    </i>
    <i r="1">
      <x v="6"/>
    </i>
    <i t="grand">
      <x/>
    </i>
  </rowItems>
  <colFields count="1">
    <field x="-2"/>
  </colFields>
  <colItems count="2">
    <i>
      <x/>
    </i>
    <i i="1">
      <x v="1"/>
    </i>
  </colItems>
  <pageFields count="1">
    <pageField fld="0" item="9"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14"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1"/>
    </i>
    <i r="1">
      <x v="1"/>
    </i>
    <i t="grand">
      <x/>
    </i>
  </rowItems>
  <colFields count="1">
    <field x="-2"/>
  </colFields>
  <colItems count="2">
    <i>
      <x/>
    </i>
    <i i="1">
      <x v="1"/>
    </i>
  </colItems>
  <pageFields count="1">
    <pageField fld="0" item="10"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13"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6"/>
    </i>
    <i r="1">
      <x v="8"/>
    </i>
    <i t="grand">
      <x/>
    </i>
  </rowItems>
  <colFields count="1">
    <field x="-2"/>
  </colFields>
  <colItems count="2">
    <i>
      <x/>
    </i>
    <i i="1">
      <x v="1"/>
    </i>
  </colItems>
  <pageFields count="1">
    <pageField fld="0" item="11"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12"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2"/>
    </i>
    <i r="1">
      <x v="2"/>
    </i>
    <i t="grand">
      <x/>
    </i>
  </rowItems>
  <colFields count="1">
    <field x="-2"/>
  </colFields>
  <colItems count="2">
    <i>
      <x/>
    </i>
    <i i="1">
      <x v="1"/>
    </i>
  </colItems>
  <pageFields count="1">
    <pageField fld="0" item="12"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11"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7"/>
    </i>
    <i r="1">
      <x v="9"/>
    </i>
    <i t="grand">
      <x/>
    </i>
  </rowItems>
  <colFields count="1">
    <field x="-2"/>
  </colFields>
  <colItems count="2">
    <i>
      <x/>
    </i>
    <i i="1">
      <x v="1"/>
    </i>
  </colItems>
  <pageFields count="1">
    <pageField fld="0" item="13"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10"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6"/>
    </i>
    <i r="1">
      <x v="16"/>
    </i>
    <i t="grand">
      <x/>
    </i>
  </rowItems>
  <colFields count="1">
    <field x="-2"/>
  </colFields>
  <colItems count="2">
    <i>
      <x/>
    </i>
    <i i="1">
      <x v="1"/>
    </i>
  </colItems>
  <pageFields count="1">
    <pageField fld="0" item="14"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9"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i>
    <i r="1">
      <x v="15"/>
    </i>
    <i t="grand">
      <x/>
    </i>
  </rowItems>
  <colFields count="1">
    <field x="-2"/>
  </colFields>
  <colItems count="2">
    <i>
      <x/>
    </i>
    <i i="1">
      <x v="1"/>
    </i>
  </colItems>
  <pageFields count="1">
    <pageField fld="0" item="15"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8"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2"/>
    </i>
    <i r="1">
      <x v="13"/>
    </i>
    <i t="grand">
      <x/>
    </i>
  </rowItems>
  <colFields count="1">
    <field x="-2"/>
  </colFields>
  <colItems count="2">
    <i>
      <x/>
    </i>
    <i i="1">
      <x v="1"/>
    </i>
  </colItems>
  <pageFields count="1">
    <pageField fld="0" item="16"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7AD9170-2BCA-4C20-8F67-F2CAF0D93D38}" name="PivotTable7" cacheId="2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3:C6" firstHeaderRow="0" firstDataRow="1" firstDataCol="1" rowPageCount="1" colPageCount="1"/>
  <pivotFields count="7">
    <pivotField axis="axisPage" showAll="0">
      <items count="21">
        <item x="9"/>
        <item x="3"/>
        <item x="6"/>
        <item x="14"/>
        <item x="18"/>
        <item x="15"/>
        <item x="4"/>
        <item x="11"/>
        <item x="1"/>
        <item x="16"/>
        <item x="5"/>
        <item x="12"/>
        <item x="0"/>
        <item x="10"/>
        <item x="8"/>
        <item x="19"/>
        <item x="7"/>
        <item x="13"/>
        <item x="2"/>
        <item x="17"/>
        <item t="default"/>
      </items>
    </pivotField>
    <pivotField axis="axisRow" showAll="0" sortType="descending">
      <items count="19">
        <item x="9"/>
        <item x="5"/>
        <item x="0"/>
        <item x="3"/>
        <item x="11"/>
        <item x="6"/>
        <item x="14"/>
        <item x="1"/>
        <item x="10"/>
        <item x="4"/>
        <item x="12"/>
        <item x="2"/>
        <item x="13"/>
        <item x="7"/>
        <item x="15"/>
        <item x="17"/>
        <item x="8"/>
        <item x="16"/>
        <item t="default"/>
      </items>
      <autoSortScope>
        <pivotArea dataOnly="0" outline="0" fieldPosition="0">
          <references count="1">
            <reference field="4294967294" count="1" selected="0">
              <x v="0"/>
            </reference>
          </references>
        </pivotArea>
      </autoSortScope>
    </pivotField>
    <pivotField dataField="1" numFmtId="4" showAll="0"/>
    <pivotField numFmtId="4" showAll="0"/>
    <pivotField numFmtId="4" showAll="0"/>
    <pivotField dataField="1" dragToRow="0" dragToCol="0" dragToPage="0" showAll="0" defaultSubtotal="0"/>
    <pivotField axis="axisRow" showAll="0">
      <items count="10">
        <item n="North Central Province" x="6"/>
        <item n="Uva Province" x="7"/>
        <item n="Western Province" x="3"/>
        <item n="Southern Province" x="5"/>
        <item x="1"/>
        <item n="Central Province" x="4"/>
        <item n="Sabaragamuwa Province" x="8"/>
        <item x="0"/>
        <item x="2"/>
        <item t="default"/>
      </items>
    </pivotField>
  </pivotFields>
  <rowFields count="2">
    <field x="6"/>
    <field x="1"/>
  </rowFields>
  <rowItems count="3">
    <i>
      <x v="3"/>
    </i>
    <i r="1">
      <x v="4"/>
    </i>
    <i t="grand">
      <x/>
    </i>
  </rowItems>
  <colFields count="1">
    <field x="-2"/>
  </colFields>
  <colItems count="2">
    <i>
      <x/>
    </i>
    <i i="1">
      <x v="1"/>
    </i>
  </colItems>
  <pageFields count="1">
    <pageField fld="0" item="17" hier="-1"/>
  </pageFields>
  <dataFields count="2">
    <dataField name="Sum of Actual Sales" fld="2" baseField="1" baseItem="0" numFmtId="168"/>
    <dataField name="Sum of Difference" fld="5" baseField="1" baseItem="2" numFmtId="4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0883DEDB-64F7-48EB-83A8-A32EAC5A6E81}" sourceName="Name">
  <pivotTables>
    <pivotTable tabId="3" name="PivotTable4"/>
  </pivotTables>
  <data>
    <tabular pivotCacheId="538887012">
      <items count="20">
        <i x="9" s="1"/>
        <i x="3" s="1"/>
        <i x="6" s="1"/>
        <i x="14" s="1"/>
        <i x="18" s="1"/>
        <i x="15" s="1"/>
        <i x="4" s="1"/>
        <i x="11" s="1"/>
        <i x="1" s="1"/>
        <i x="16" s="1"/>
        <i x="5" s="1"/>
        <i x="12" s="1"/>
        <i x="0" s="1"/>
        <i x="10" s="1"/>
        <i x="8" s="1"/>
        <i x="19" s="1"/>
        <i x="7" s="1"/>
        <i x="13" s="1"/>
        <i x="2"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wn" xr10:uid="{294076FD-4DF4-43E6-9F21-602DAD01A8BD}" sourceName="Town">
  <pivotTables>
    <pivotTable tabId="3" name="PivotTable4"/>
  </pivotTables>
  <data>
    <tabular pivotCacheId="538887012">
      <items count="18">
        <i x="9" s="1"/>
        <i x="5" s="1"/>
        <i x="0" s="1"/>
        <i x="3" s="1"/>
        <i x="11" s="1"/>
        <i x="6" s="1"/>
        <i x="14" s="1"/>
        <i x="1" s="1"/>
        <i x="10" s="1"/>
        <i x="4" s="1"/>
        <i x="12" s="1"/>
        <i x="2" s="1"/>
        <i x="13" s="1"/>
        <i x="7" s="1"/>
        <i x="15" s="1"/>
        <i x="17" s="1"/>
        <i x="8"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DF9DB948-1191-4B4F-9CC9-96AEF5B42836}" sourceName="Customer">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7F3C56B4-C4DD-4F89-95D8-8A853A5B9643}" cache="Slicer_Customer" caption="Customer" startItem="1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0C3285F1-7A50-4940-A4AE-2EA07DBEC425}" cache="Slicer_Name" caption="Name" rowHeight="234950"/>
  <slicer name="Town" xr10:uid="{A36A9A45-FE7F-4C93-9A1C-C55127146167}" cache="Slicer_Town" caption="Tow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97C7E7-84AE-4957-8BCC-0F8343FF2CC4}" name="Table2" displayName="Table2" ref="A1:I22" totalsRowCount="1">
  <autoFilter ref="A1:I21" xr:uid="{5197C7E7-84AE-4957-8BCC-0F8343FF2CC4}"/>
  <sortState xmlns:xlrd2="http://schemas.microsoft.com/office/spreadsheetml/2017/richdata2" ref="A2:I21">
    <sortCondition ref="A1:A21"/>
  </sortState>
  <tableColumns count="9">
    <tableColumn id="1" xr3:uid="{C1B0FA5E-2BF8-4229-90B5-AEF16710C650}" name="Order ID" totalsRowLabel="Total"/>
    <tableColumn id="2" xr3:uid="{458F7891-CB92-4411-AC01-894A082AD074}" name="Customer"/>
    <tableColumn id="3" xr3:uid="{B9E4684F-1EEC-4F11-AC21-7E0AEF9CD025}" name="City"/>
    <tableColumn id="4" xr3:uid="{4AD2A9A9-BE0F-4266-9E70-F643BC61445E}" name="Category"/>
    <tableColumn id="5" xr3:uid="{6B23CA2B-9DEF-4BB7-9797-C84340EDCBAD}" name="Product"/>
    <tableColumn id="6" xr3:uid="{6B95406A-0438-4B00-812E-7F00856DAE9F}" name="Quantity" totalsRowFunction="sum"/>
    <tableColumn id="7" xr3:uid="{2C040765-55D6-438C-A2AB-B7291C4552FC}" name="Unit Price"/>
    <tableColumn id="8" xr3:uid="{3C7C5937-3DC6-4660-9506-3752B9E91C30}" name="Discount (%)"/>
    <tableColumn id="9" xr3:uid="{BCE2578B-DBEB-4B90-A3F6-A2D18F3215E9}" name="Salesperson"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D217AC-A731-479E-91A2-933AFAFBBF5C}" name="Table3" displayName="Table3" ref="A2:E22" totalsRowShown="0" headerRowDxfId="0" dataDxfId="1">
  <autoFilter ref="A2:E22" xr:uid="{8DD217AC-A731-479E-91A2-933AFAFBBF5C}"/>
  <tableColumns count="5">
    <tableColumn id="1" xr3:uid="{4ACEB276-F399-41D9-9F89-15CBB0D01F55}" name="Name" dataDxfId="6"/>
    <tableColumn id="2" xr3:uid="{7E08FD5D-78BC-4941-8246-6D18BD116C41}" name="Town" dataDxfId="5"/>
    <tableColumn id="3" xr3:uid="{60A0C4B1-3D97-4008-A6C3-390A6B20011D}" name="Actual Sales" dataDxfId="4"/>
    <tableColumn id="4" xr3:uid="{9067B31F-43DC-40A6-AA7C-81C2FA0028F6}" name="Average Actual Sales" dataDxfId="3"/>
    <tableColumn id="5" xr3:uid="{EC551AD8-6DC0-4737-8859-367658F4B2F2}" name="Estimated Sal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zoomScale="55" zoomScaleNormal="55" workbookViewId="0">
      <selection activeCell="I21" sqref="A1:I21"/>
    </sheetView>
  </sheetViews>
  <sheetFormatPr defaultRowHeight="14.4" x14ac:dyDescent="0.3"/>
  <cols>
    <col min="1" max="1" width="9.88671875" customWidth="1"/>
    <col min="2" max="2" width="11" customWidth="1"/>
    <col min="4" max="4" width="10.44140625" customWidth="1"/>
    <col min="5" max="5" width="9.5546875" customWidth="1"/>
    <col min="6" max="6" width="10.21875" customWidth="1"/>
    <col min="7" max="7" width="11" customWidth="1"/>
    <col min="8" max="8" width="13.44140625" customWidth="1"/>
    <col min="9" max="9" width="12.88671875" customWidth="1"/>
  </cols>
  <sheetData>
    <row r="1" spans="1:10" x14ac:dyDescent="0.3">
      <c r="A1" t="s">
        <v>0</v>
      </c>
      <c r="B1" t="s">
        <v>1</v>
      </c>
      <c r="C1" t="s">
        <v>2</v>
      </c>
      <c r="D1" t="s">
        <v>3</v>
      </c>
      <c r="E1" t="s">
        <v>4</v>
      </c>
      <c r="F1" t="s">
        <v>5</v>
      </c>
      <c r="G1" t="s">
        <v>6</v>
      </c>
      <c r="H1" t="s">
        <v>7</v>
      </c>
      <c r="I1" t="s">
        <v>8</v>
      </c>
    </row>
    <row r="2" spans="1:10" x14ac:dyDescent="0.3">
      <c r="A2">
        <v>1001</v>
      </c>
      <c r="B2" t="s">
        <v>9</v>
      </c>
      <c r="C2" t="s">
        <v>10</v>
      </c>
      <c r="D2" t="s">
        <v>11</v>
      </c>
      <c r="E2" t="s">
        <v>12</v>
      </c>
      <c r="F2">
        <v>5</v>
      </c>
      <c r="G2">
        <v>2500</v>
      </c>
      <c r="H2">
        <v>5</v>
      </c>
      <c r="I2" t="s">
        <v>13</v>
      </c>
      <c r="J2" s="1"/>
    </row>
    <row r="3" spans="1:10" x14ac:dyDescent="0.3">
      <c r="A3">
        <v>1002</v>
      </c>
      <c r="B3" t="s">
        <v>14</v>
      </c>
      <c r="C3" t="s">
        <v>15</v>
      </c>
      <c r="D3" t="s">
        <v>16</v>
      </c>
      <c r="E3" t="s">
        <v>17</v>
      </c>
      <c r="F3">
        <v>10</v>
      </c>
      <c r="G3">
        <v>450</v>
      </c>
      <c r="H3">
        <v>0</v>
      </c>
      <c r="I3" t="s">
        <v>18</v>
      </c>
      <c r="J3" s="1"/>
    </row>
    <row r="4" spans="1:10" x14ac:dyDescent="0.3">
      <c r="A4">
        <v>1003</v>
      </c>
      <c r="B4" t="s">
        <v>19</v>
      </c>
      <c r="C4" t="s">
        <v>20</v>
      </c>
      <c r="D4" t="s">
        <v>11</v>
      </c>
      <c r="E4" t="s">
        <v>21</v>
      </c>
      <c r="F4">
        <v>3</v>
      </c>
      <c r="G4">
        <v>4500</v>
      </c>
      <c r="H4">
        <v>10</v>
      </c>
      <c r="I4" t="s">
        <v>22</v>
      </c>
      <c r="J4" s="1"/>
    </row>
    <row r="5" spans="1:10" x14ac:dyDescent="0.3">
      <c r="A5">
        <v>1004</v>
      </c>
      <c r="B5" t="s">
        <v>23</v>
      </c>
      <c r="C5" t="s">
        <v>24</v>
      </c>
      <c r="D5" t="s">
        <v>25</v>
      </c>
      <c r="E5" t="s">
        <v>26</v>
      </c>
      <c r="F5">
        <v>2</v>
      </c>
      <c r="G5">
        <v>8500</v>
      </c>
      <c r="H5">
        <v>15</v>
      </c>
      <c r="I5" t="s">
        <v>13</v>
      </c>
      <c r="J5" s="1"/>
    </row>
    <row r="6" spans="1:10" x14ac:dyDescent="0.3">
      <c r="A6">
        <v>1005</v>
      </c>
      <c r="B6" t="s">
        <v>27</v>
      </c>
      <c r="C6" t="s">
        <v>28</v>
      </c>
      <c r="D6" t="s">
        <v>16</v>
      </c>
      <c r="E6" t="s">
        <v>29</v>
      </c>
      <c r="F6">
        <v>15</v>
      </c>
      <c r="G6">
        <v>300</v>
      </c>
      <c r="H6">
        <v>5</v>
      </c>
      <c r="I6" t="s">
        <v>18</v>
      </c>
      <c r="J6" s="1"/>
    </row>
    <row r="7" spans="1:10" x14ac:dyDescent="0.3">
      <c r="A7">
        <v>1006</v>
      </c>
      <c r="B7" t="s">
        <v>30</v>
      </c>
      <c r="C7" t="s">
        <v>10</v>
      </c>
      <c r="D7" t="s">
        <v>11</v>
      </c>
      <c r="E7" t="s">
        <v>31</v>
      </c>
      <c r="F7">
        <v>2</v>
      </c>
      <c r="G7">
        <v>42000</v>
      </c>
      <c r="H7">
        <v>8</v>
      </c>
      <c r="I7" t="s">
        <v>22</v>
      </c>
      <c r="J7" s="1"/>
    </row>
    <row r="8" spans="1:10" x14ac:dyDescent="0.3">
      <c r="A8">
        <v>1007</v>
      </c>
      <c r="B8" t="s">
        <v>32</v>
      </c>
      <c r="C8" t="s">
        <v>33</v>
      </c>
      <c r="D8" t="s">
        <v>25</v>
      </c>
      <c r="E8" t="s">
        <v>34</v>
      </c>
      <c r="F8">
        <v>1</v>
      </c>
      <c r="G8">
        <v>22000</v>
      </c>
      <c r="H8">
        <v>12</v>
      </c>
      <c r="I8" t="s">
        <v>13</v>
      </c>
      <c r="J8" s="1"/>
    </row>
    <row r="9" spans="1:10" x14ac:dyDescent="0.3">
      <c r="A9">
        <v>1008</v>
      </c>
      <c r="B9" t="s">
        <v>35</v>
      </c>
      <c r="C9" t="s">
        <v>15</v>
      </c>
      <c r="D9" t="s">
        <v>11</v>
      </c>
      <c r="E9" t="s">
        <v>36</v>
      </c>
      <c r="F9">
        <v>4</v>
      </c>
      <c r="G9">
        <v>8500</v>
      </c>
      <c r="H9">
        <v>5</v>
      </c>
      <c r="I9" t="s">
        <v>18</v>
      </c>
      <c r="J9" s="1"/>
    </row>
    <row r="10" spans="1:10" x14ac:dyDescent="0.3">
      <c r="A10">
        <v>1009</v>
      </c>
      <c r="B10" t="s">
        <v>37</v>
      </c>
      <c r="C10" t="s">
        <v>20</v>
      </c>
      <c r="D10" t="s">
        <v>16</v>
      </c>
      <c r="E10" t="s">
        <v>38</v>
      </c>
      <c r="F10">
        <v>20</v>
      </c>
      <c r="G10">
        <v>200</v>
      </c>
      <c r="H10">
        <v>0</v>
      </c>
      <c r="I10" t="s">
        <v>22</v>
      </c>
      <c r="J10" s="1"/>
    </row>
    <row r="11" spans="1:10" x14ac:dyDescent="0.3">
      <c r="A11">
        <v>1010</v>
      </c>
      <c r="B11" t="s">
        <v>39</v>
      </c>
      <c r="C11" t="s">
        <v>10</v>
      </c>
      <c r="D11" t="s">
        <v>11</v>
      </c>
      <c r="E11" t="s">
        <v>40</v>
      </c>
      <c r="F11">
        <v>3</v>
      </c>
      <c r="G11">
        <v>18500</v>
      </c>
      <c r="H11">
        <v>10</v>
      </c>
      <c r="I11" t="s">
        <v>13</v>
      </c>
      <c r="J11" s="1"/>
    </row>
    <row r="12" spans="1:10" x14ac:dyDescent="0.3">
      <c r="A12">
        <v>1011</v>
      </c>
      <c r="B12" t="s">
        <v>41</v>
      </c>
      <c r="C12" t="s">
        <v>28</v>
      </c>
      <c r="D12" t="s">
        <v>25</v>
      </c>
      <c r="E12" t="s">
        <v>42</v>
      </c>
      <c r="F12">
        <v>2</v>
      </c>
      <c r="G12">
        <v>16000</v>
      </c>
      <c r="H12">
        <v>15</v>
      </c>
      <c r="I12" t="s">
        <v>18</v>
      </c>
    </row>
    <row r="13" spans="1:10" x14ac:dyDescent="0.3">
      <c r="A13">
        <v>1012</v>
      </c>
      <c r="B13" t="s">
        <v>43</v>
      </c>
      <c r="C13" t="s">
        <v>44</v>
      </c>
      <c r="D13" t="s">
        <v>11</v>
      </c>
      <c r="E13" t="s">
        <v>45</v>
      </c>
      <c r="F13">
        <v>1</v>
      </c>
      <c r="G13">
        <v>36000</v>
      </c>
      <c r="H13">
        <v>5</v>
      </c>
      <c r="I13" t="s">
        <v>22</v>
      </c>
    </row>
    <row r="14" spans="1:10" x14ac:dyDescent="0.3">
      <c r="A14">
        <v>1013</v>
      </c>
      <c r="B14" t="s">
        <v>46</v>
      </c>
      <c r="C14" t="s">
        <v>10</v>
      </c>
      <c r="D14" t="s">
        <v>16</v>
      </c>
      <c r="E14" t="s">
        <v>47</v>
      </c>
      <c r="F14">
        <v>12</v>
      </c>
      <c r="G14">
        <v>180</v>
      </c>
      <c r="H14">
        <v>0</v>
      </c>
      <c r="I14" t="s">
        <v>13</v>
      </c>
      <c r="J14" s="1"/>
    </row>
    <row r="15" spans="1:10" x14ac:dyDescent="0.3">
      <c r="A15">
        <v>1014</v>
      </c>
      <c r="B15" t="s">
        <v>48</v>
      </c>
      <c r="C15" t="s">
        <v>20</v>
      </c>
      <c r="D15" t="s">
        <v>11</v>
      </c>
      <c r="E15" t="s">
        <v>49</v>
      </c>
      <c r="F15">
        <v>4</v>
      </c>
      <c r="G15">
        <v>9800</v>
      </c>
      <c r="H15">
        <v>7</v>
      </c>
      <c r="I15" t="s">
        <v>18</v>
      </c>
      <c r="J15" s="1"/>
    </row>
    <row r="16" spans="1:10" x14ac:dyDescent="0.3">
      <c r="A16">
        <v>1015</v>
      </c>
      <c r="B16" t="s">
        <v>50</v>
      </c>
      <c r="C16" t="s">
        <v>15</v>
      </c>
      <c r="D16" t="s">
        <v>25</v>
      </c>
      <c r="E16" t="s">
        <v>51</v>
      </c>
      <c r="F16">
        <v>2</v>
      </c>
      <c r="G16">
        <v>28500</v>
      </c>
      <c r="H16">
        <v>10</v>
      </c>
      <c r="I16" t="s">
        <v>22</v>
      </c>
      <c r="J16" s="1"/>
    </row>
    <row r="17" spans="1:10" x14ac:dyDescent="0.3">
      <c r="A17">
        <v>1016</v>
      </c>
      <c r="B17" t="s">
        <v>52</v>
      </c>
      <c r="C17" t="s">
        <v>24</v>
      </c>
      <c r="D17" t="s">
        <v>11</v>
      </c>
      <c r="E17" t="s">
        <v>53</v>
      </c>
      <c r="F17">
        <v>1</v>
      </c>
      <c r="G17">
        <v>145000</v>
      </c>
      <c r="H17">
        <v>5</v>
      </c>
      <c r="I17" t="s">
        <v>13</v>
      </c>
      <c r="J17" s="1"/>
    </row>
    <row r="18" spans="1:10" x14ac:dyDescent="0.3">
      <c r="A18">
        <v>1017</v>
      </c>
      <c r="B18" t="s">
        <v>54</v>
      </c>
      <c r="C18" t="s">
        <v>10</v>
      </c>
      <c r="D18" t="s">
        <v>16</v>
      </c>
      <c r="E18" t="s">
        <v>55</v>
      </c>
      <c r="F18">
        <v>5</v>
      </c>
      <c r="G18">
        <v>950</v>
      </c>
      <c r="H18">
        <v>0</v>
      </c>
      <c r="I18" t="s">
        <v>18</v>
      </c>
      <c r="J18" s="1"/>
    </row>
    <row r="19" spans="1:10" x14ac:dyDescent="0.3">
      <c r="A19">
        <v>1018</v>
      </c>
      <c r="B19" t="s">
        <v>56</v>
      </c>
      <c r="C19" t="s">
        <v>28</v>
      </c>
      <c r="D19" t="s">
        <v>11</v>
      </c>
      <c r="E19" t="s">
        <v>57</v>
      </c>
      <c r="F19">
        <v>6</v>
      </c>
      <c r="G19">
        <v>6500</v>
      </c>
      <c r="H19">
        <v>8</v>
      </c>
      <c r="I19" t="s">
        <v>22</v>
      </c>
      <c r="J19" s="1"/>
    </row>
    <row r="20" spans="1:10" x14ac:dyDescent="0.3">
      <c r="A20">
        <v>1019</v>
      </c>
      <c r="B20" t="s">
        <v>58</v>
      </c>
      <c r="C20" t="s">
        <v>33</v>
      </c>
      <c r="D20" t="s">
        <v>25</v>
      </c>
      <c r="E20" t="s">
        <v>59</v>
      </c>
      <c r="F20">
        <v>1</v>
      </c>
      <c r="G20">
        <v>32500</v>
      </c>
      <c r="H20">
        <v>12</v>
      </c>
      <c r="I20" t="s">
        <v>13</v>
      </c>
      <c r="J20" s="1"/>
    </row>
    <row r="21" spans="1:10" x14ac:dyDescent="0.3">
      <c r="A21">
        <v>1020</v>
      </c>
      <c r="B21" t="s">
        <v>60</v>
      </c>
      <c r="C21" t="s">
        <v>44</v>
      </c>
      <c r="D21" t="s">
        <v>11</v>
      </c>
      <c r="E21" t="s">
        <v>61</v>
      </c>
      <c r="F21">
        <v>3</v>
      </c>
      <c r="G21">
        <v>12000</v>
      </c>
      <c r="H21">
        <v>5</v>
      </c>
      <c r="I21" t="s">
        <v>18</v>
      </c>
      <c r="J21" s="1"/>
    </row>
    <row r="22" spans="1:10" x14ac:dyDescent="0.3">
      <c r="A22" t="s">
        <v>62</v>
      </c>
      <c r="F22">
        <f>SUBTOTAL(109,Table2[Quantity])</f>
        <v>102</v>
      </c>
      <c r="I22">
        <f>SUBTOTAL(103,Table2[Salesperson])</f>
        <v>20</v>
      </c>
      <c r="J22" s="1"/>
    </row>
    <row r="23" spans="1:10" x14ac:dyDescent="0.3">
      <c r="J23" s="1"/>
    </row>
    <row r="24" spans="1:10" x14ac:dyDescent="0.3">
      <c r="J24" s="1"/>
    </row>
    <row r="25" spans="1:10" x14ac:dyDescent="0.3">
      <c r="J25" s="1"/>
    </row>
    <row r="26" spans="1:10" x14ac:dyDescent="0.3">
      <c r="J26" s="1"/>
    </row>
    <row r="27" spans="1:10" x14ac:dyDescent="0.3">
      <c r="J27" s="1"/>
    </row>
    <row r="28" spans="1:10" x14ac:dyDescent="0.3">
      <c r="J28" s="1"/>
    </row>
    <row r="29" spans="1:10" x14ac:dyDescent="0.3">
      <c r="J29" s="1"/>
    </row>
    <row r="30" spans="1:10" x14ac:dyDescent="0.3">
      <c r="J30" s="1"/>
    </row>
    <row r="31" spans="1:10" x14ac:dyDescent="0.3">
      <c r="J31" s="1"/>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8412-8FDB-497D-991A-843F54D2F6A8}">
  <dimension ref="A1:H8"/>
  <sheetViews>
    <sheetView zoomScale="70" zoomScaleNormal="70" workbookViewId="0">
      <selection activeCell="D18" sqref="D18"/>
    </sheetView>
  </sheetViews>
  <sheetFormatPr defaultRowHeight="14.4" x14ac:dyDescent="0.3"/>
  <cols>
    <col min="2" max="2" width="13.33203125" customWidth="1"/>
    <col min="3" max="3" width="17.88671875" customWidth="1"/>
    <col min="4" max="4" width="18" customWidth="1"/>
    <col min="5" max="5" width="17.88671875" customWidth="1"/>
    <col min="7" max="7" width="10.77734375" bestFit="1" customWidth="1"/>
    <col min="8" max="8" width="11.44140625" bestFit="1" customWidth="1"/>
  </cols>
  <sheetData>
    <row r="1" spans="1:8" x14ac:dyDescent="0.3">
      <c r="A1" s="13" t="s">
        <v>63</v>
      </c>
      <c r="B1" s="13"/>
      <c r="C1" s="13"/>
      <c r="D1" s="13"/>
      <c r="E1" s="13"/>
      <c r="F1" s="12"/>
    </row>
    <row r="2" spans="1:8" x14ac:dyDescent="0.3">
      <c r="A2" s="9" t="s">
        <v>64</v>
      </c>
      <c r="B2" s="10" t="s">
        <v>88</v>
      </c>
      <c r="C2" s="10" t="s">
        <v>65</v>
      </c>
      <c r="D2" s="10" t="s">
        <v>66</v>
      </c>
      <c r="E2" s="11" t="s">
        <v>67</v>
      </c>
      <c r="F2" s="3"/>
      <c r="G2" s="14" t="s">
        <v>88</v>
      </c>
      <c r="H2" t="s">
        <v>89</v>
      </c>
    </row>
    <row r="3" spans="1:8" x14ac:dyDescent="0.3">
      <c r="A3" s="2" t="s">
        <v>68</v>
      </c>
      <c r="B3" s="3" t="s">
        <v>69</v>
      </c>
      <c r="C3" s="3" t="s">
        <v>70</v>
      </c>
      <c r="D3" s="3" t="s">
        <v>71</v>
      </c>
      <c r="E3" s="4" t="s">
        <v>72</v>
      </c>
      <c r="F3" s="3"/>
      <c r="G3" s="15" t="s">
        <v>69</v>
      </c>
      <c r="H3" s="17">
        <v>3</v>
      </c>
    </row>
    <row r="4" spans="1:8" x14ac:dyDescent="0.3">
      <c r="A4" s="2" t="s">
        <v>73</v>
      </c>
      <c r="B4" s="3" t="s">
        <v>74</v>
      </c>
      <c r="C4" s="3" t="s">
        <v>75</v>
      </c>
      <c r="D4" s="3" t="s">
        <v>71</v>
      </c>
      <c r="E4" s="4" t="s">
        <v>76</v>
      </c>
      <c r="F4" s="3"/>
      <c r="G4" s="15" t="s">
        <v>74</v>
      </c>
      <c r="H4" s="17">
        <v>2</v>
      </c>
    </row>
    <row r="5" spans="1:8" x14ac:dyDescent="0.3">
      <c r="A5" s="2" t="s">
        <v>77</v>
      </c>
      <c r="B5" s="3" t="s">
        <v>69</v>
      </c>
      <c r="C5" s="3" t="s">
        <v>78</v>
      </c>
      <c r="D5" s="3" t="s">
        <v>71</v>
      </c>
      <c r="E5" s="4" t="s">
        <v>79</v>
      </c>
      <c r="F5" s="3"/>
      <c r="G5" s="15" t="s">
        <v>20</v>
      </c>
      <c r="H5" s="17">
        <v>1</v>
      </c>
    </row>
    <row r="6" spans="1:8" x14ac:dyDescent="0.3">
      <c r="A6" s="2" t="s">
        <v>80</v>
      </c>
      <c r="B6" s="3" t="s">
        <v>69</v>
      </c>
      <c r="C6" s="3" t="s">
        <v>81</v>
      </c>
      <c r="D6" s="3" t="s">
        <v>71</v>
      </c>
      <c r="E6" s="4" t="s">
        <v>70</v>
      </c>
      <c r="F6" s="3"/>
      <c r="G6" s="15" t="s">
        <v>87</v>
      </c>
      <c r="H6" s="17">
        <v>6</v>
      </c>
    </row>
    <row r="7" spans="1:8" x14ac:dyDescent="0.3">
      <c r="A7" s="2" t="s">
        <v>82</v>
      </c>
      <c r="B7" s="3" t="s">
        <v>20</v>
      </c>
      <c r="C7" s="3" t="s">
        <v>83</v>
      </c>
      <c r="D7" s="3" t="s">
        <v>71</v>
      </c>
      <c r="E7" s="4" t="s">
        <v>75</v>
      </c>
      <c r="F7" s="3"/>
    </row>
    <row r="8" spans="1:8" x14ac:dyDescent="0.3">
      <c r="A8" s="5" t="s">
        <v>84</v>
      </c>
      <c r="B8" s="6" t="s">
        <v>74</v>
      </c>
      <c r="C8" s="6" t="s">
        <v>85</v>
      </c>
      <c r="D8" s="6" t="s">
        <v>71</v>
      </c>
      <c r="E8" s="7" t="s">
        <v>75</v>
      </c>
      <c r="F8" s="3"/>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4E035-97A7-4275-BAEA-5EBD3AC0F59D}">
  <dimension ref="A1:I31"/>
  <sheetViews>
    <sheetView zoomScale="34" zoomScaleNormal="34" workbookViewId="0">
      <selection activeCell="K11" sqref="K11"/>
    </sheetView>
  </sheetViews>
  <sheetFormatPr defaultRowHeight="14.4" x14ac:dyDescent="0.3"/>
  <cols>
    <col min="3" max="3" width="18" customWidth="1"/>
    <col min="4" max="4" width="20.21875" customWidth="1"/>
    <col min="5" max="5" width="17.77734375" customWidth="1"/>
    <col min="7" max="7" width="22.109375" bestFit="1" customWidth="1"/>
    <col min="8" max="8" width="17.6640625" bestFit="1" customWidth="1"/>
    <col min="9" max="9" width="16.21875" bestFit="1" customWidth="1"/>
    <col min="10" max="10" width="16.33203125" bestFit="1" customWidth="1"/>
    <col min="11" max="11" width="5.33203125" bestFit="1" customWidth="1"/>
    <col min="12" max="12" width="11.88671875" bestFit="1" customWidth="1"/>
    <col min="13" max="13" width="6.109375" bestFit="1" customWidth="1"/>
    <col min="14" max="14" width="8.21875" bestFit="1" customWidth="1"/>
    <col min="15" max="15" width="6.33203125" bestFit="1" customWidth="1"/>
    <col min="16" max="16" width="7.21875" bestFit="1" customWidth="1"/>
    <col min="17" max="17" width="10.77734375" bestFit="1" customWidth="1"/>
    <col min="18" max="18" width="7.109375" bestFit="1" customWidth="1"/>
    <col min="19" max="19" width="7.21875" bestFit="1" customWidth="1"/>
    <col min="20" max="20" width="11.109375" bestFit="1" customWidth="1"/>
    <col min="21" max="21" width="9.6640625" bestFit="1" customWidth="1"/>
    <col min="22" max="22" width="12.21875" bestFit="1" customWidth="1"/>
    <col min="23" max="23" width="12.44140625" bestFit="1" customWidth="1"/>
    <col min="24" max="24" width="10" bestFit="1" customWidth="1"/>
    <col min="25" max="25" width="11.6640625" bestFit="1" customWidth="1"/>
    <col min="26" max="26" width="11.109375" bestFit="1" customWidth="1"/>
  </cols>
  <sheetData>
    <row r="1" spans="1:9" x14ac:dyDescent="0.3">
      <c r="A1" s="20" t="s">
        <v>120</v>
      </c>
      <c r="B1" s="8"/>
      <c r="C1" s="8"/>
      <c r="D1" s="8"/>
      <c r="E1" s="8"/>
      <c r="G1" s="14" t="s">
        <v>64</v>
      </c>
      <c r="H1" t="s">
        <v>123</v>
      </c>
    </row>
    <row r="2" spans="1:9" ht="14.4" customHeight="1" x14ac:dyDescent="0.3">
      <c r="A2" s="18" t="s">
        <v>64</v>
      </c>
      <c r="B2" s="18" t="s">
        <v>88</v>
      </c>
      <c r="C2" s="18" t="s">
        <v>65</v>
      </c>
      <c r="D2" s="18" t="s">
        <v>66</v>
      </c>
      <c r="E2" s="18" t="s">
        <v>67</v>
      </c>
    </row>
    <row r="3" spans="1:9" ht="14.4" customHeight="1" x14ac:dyDescent="0.3">
      <c r="A3" s="19" t="s">
        <v>18</v>
      </c>
      <c r="B3" s="19" t="s">
        <v>10</v>
      </c>
      <c r="C3" s="21">
        <v>2500000</v>
      </c>
      <c r="D3" s="21">
        <v>1533333.33</v>
      </c>
      <c r="E3" s="21">
        <v>3000000</v>
      </c>
      <c r="G3" s="14" t="s">
        <v>86</v>
      </c>
      <c r="H3" t="s">
        <v>121</v>
      </c>
      <c r="I3" t="s">
        <v>122</v>
      </c>
    </row>
    <row r="4" spans="1:9" ht="14.4" customHeight="1" x14ac:dyDescent="0.3">
      <c r="A4" s="19" t="s">
        <v>90</v>
      </c>
      <c r="B4" s="19" t="s">
        <v>15</v>
      </c>
      <c r="C4" s="21">
        <v>1000000</v>
      </c>
      <c r="D4" s="21">
        <v>1533333.33</v>
      </c>
      <c r="E4" s="21">
        <v>750000</v>
      </c>
      <c r="G4" s="15" t="s">
        <v>127</v>
      </c>
      <c r="H4" s="17">
        <v>3950000</v>
      </c>
      <c r="I4" s="22">
        <v>750000</v>
      </c>
    </row>
    <row r="5" spans="1:9" ht="14.4" customHeight="1" x14ac:dyDescent="0.3">
      <c r="A5" s="19" t="s">
        <v>91</v>
      </c>
      <c r="B5" s="19" t="s">
        <v>28</v>
      </c>
      <c r="C5" s="21">
        <v>1500000</v>
      </c>
      <c r="D5" s="21">
        <v>1533333.33</v>
      </c>
      <c r="E5" s="21">
        <v>1200000</v>
      </c>
      <c r="G5" s="16" t="s">
        <v>101</v>
      </c>
      <c r="H5" s="17">
        <v>2200000</v>
      </c>
      <c r="I5" s="22">
        <v>500000</v>
      </c>
    </row>
    <row r="6" spans="1:9" ht="14.4" customHeight="1" x14ac:dyDescent="0.3">
      <c r="A6" s="19" t="s">
        <v>92</v>
      </c>
      <c r="B6" s="19" t="s">
        <v>20</v>
      </c>
      <c r="C6" s="21">
        <v>2000000</v>
      </c>
      <c r="D6" s="21">
        <v>1533333.33</v>
      </c>
      <c r="E6" s="21">
        <v>2500000</v>
      </c>
      <c r="G6" s="16" t="s">
        <v>119</v>
      </c>
      <c r="H6" s="17">
        <v>1750000</v>
      </c>
      <c r="I6" s="22">
        <v>250000</v>
      </c>
    </row>
    <row r="7" spans="1:9" ht="14.4" customHeight="1" x14ac:dyDescent="0.3">
      <c r="A7" s="19" t="s">
        <v>93</v>
      </c>
      <c r="B7" s="19" t="s">
        <v>33</v>
      </c>
      <c r="C7" s="21">
        <v>800000</v>
      </c>
      <c r="D7" s="21">
        <v>1533333.33</v>
      </c>
      <c r="E7" s="21">
        <v>1000000</v>
      </c>
      <c r="G7" s="15" t="s">
        <v>128</v>
      </c>
      <c r="H7" s="17">
        <v>3300000</v>
      </c>
      <c r="I7" s="22">
        <v>-200000</v>
      </c>
    </row>
    <row r="8" spans="1:9" ht="14.4" customHeight="1" x14ac:dyDescent="0.3">
      <c r="A8" s="19" t="s">
        <v>94</v>
      </c>
      <c r="B8" s="19" t="s">
        <v>95</v>
      </c>
      <c r="C8" s="21">
        <v>1400000</v>
      </c>
      <c r="D8" s="21">
        <v>1533333.33</v>
      </c>
      <c r="E8" s="21">
        <v>1000000</v>
      </c>
      <c r="G8" s="16" t="s">
        <v>111</v>
      </c>
      <c r="H8" s="17">
        <v>1900000</v>
      </c>
      <c r="I8" s="22">
        <v>200000</v>
      </c>
    </row>
    <row r="9" spans="1:9" ht="14.4" customHeight="1" x14ac:dyDescent="0.3">
      <c r="A9" s="19" t="s">
        <v>96</v>
      </c>
      <c r="B9" s="19" t="s">
        <v>24</v>
      </c>
      <c r="C9" s="21">
        <v>1800000</v>
      </c>
      <c r="D9" s="21">
        <v>1533333.33</v>
      </c>
      <c r="E9" s="21">
        <v>2000000</v>
      </c>
      <c r="G9" s="16" t="s">
        <v>95</v>
      </c>
      <c r="H9" s="17">
        <v>1400000</v>
      </c>
      <c r="I9" s="22">
        <v>-400000</v>
      </c>
    </row>
    <row r="10" spans="1:9" ht="14.4" customHeight="1" x14ac:dyDescent="0.3">
      <c r="A10" s="19" t="s">
        <v>97</v>
      </c>
      <c r="B10" s="19" t="s">
        <v>44</v>
      </c>
      <c r="C10" s="21">
        <v>1200000</v>
      </c>
      <c r="D10" s="21">
        <v>1533333.33</v>
      </c>
      <c r="E10" s="21">
        <v>1500000</v>
      </c>
      <c r="G10" s="15" t="s">
        <v>124</v>
      </c>
      <c r="H10" s="17">
        <v>5850000</v>
      </c>
      <c r="I10" s="22">
        <v>1250000</v>
      </c>
    </row>
    <row r="11" spans="1:9" ht="14.4" customHeight="1" x14ac:dyDescent="0.3">
      <c r="A11" s="19" t="s">
        <v>98</v>
      </c>
      <c r="B11" s="19" t="s">
        <v>99</v>
      </c>
      <c r="C11" s="21">
        <v>900000</v>
      </c>
      <c r="D11" s="21">
        <v>1533333.33</v>
      </c>
      <c r="E11" s="21">
        <v>850000</v>
      </c>
      <c r="G11" s="16" t="s">
        <v>10</v>
      </c>
      <c r="H11" s="17">
        <v>3200000</v>
      </c>
      <c r="I11" s="22">
        <v>700000</v>
      </c>
    </row>
    <row r="12" spans="1:9" ht="14.4" customHeight="1" x14ac:dyDescent="0.3">
      <c r="A12" s="19" t="s">
        <v>100</v>
      </c>
      <c r="B12" s="19" t="s">
        <v>101</v>
      </c>
      <c r="C12" s="21">
        <v>2200000</v>
      </c>
      <c r="D12" s="21">
        <v>1533333.33</v>
      </c>
      <c r="E12" s="21">
        <v>2700000</v>
      </c>
      <c r="G12" s="16" t="s">
        <v>113</v>
      </c>
      <c r="H12" s="17">
        <v>1450000</v>
      </c>
      <c r="I12" s="22">
        <v>250000</v>
      </c>
    </row>
    <row r="13" spans="1:9" ht="14.4" customHeight="1" x14ac:dyDescent="0.3">
      <c r="A13" s="19" t="s">
        <v>102</v>
      </c>
      <c r="B13" s="19" t="s">
        <v>33</v>
      </c>
      <c r="C13" s="21">
        <v>1600000</v>
      </c>
      <c r="D13" s="21">
        <v>1533333.33</v>
      </c>
      <c r="E13" s="21">
        <v>1800000</v>
      </c>
      <c r="G13" s="16" t="s">
        <v>44</v>
      </c>
      <c r="H13" s="17">
        <v>1200000</v>
      </c>
      <c r="I13" s="22">
        <v>300000</v>
      </c>
    </row>
    <row r="14" spans="1:9" ht="14.4" customHeight="1" x14ac:dyDescent="0.3">
      <c r="A14" s="19" t="s">
        <v>103</v>
      </c>
      <c r="B14" s="19" t="s">
        <v>10</v>
      </c>
      <c r="C14" s="21">
        <v>700000</v>
      </c>
      <c r="D14" s="21">
        <v>1533333.33</v>
      </c>
      <c r="E14" s="21">
        <v>900000</v>
      </c>
      <c r="G14" s="15" t="s">
        <v>126</v>
      </c>
      <c r="H14" s="17">
        <v>6300000</v>
      </c>
      <c r="I14" s="22">
        <v>600000</v>
      </c>
    </row>
    <row r="15" spans="1:9" ht="14.4" customHeight="1" x14ac:dyDescent="0.3">
      <c r="A15" s="19" t="s">
        <v>104</v>
      </c>
      <c r="B15" s="19" t="s">
        <v>105</v>
      </c>
      <c r="C15" s="21">
        <v>1300000</v>
      </c>
      <c r="D15" s="21">
        <v>1533333.33</v>
      </c>
      <c r="E15" s="21">
        <v>1600000</v>
      </c>
      <c r="G15" s="16" t="s">
        <v>107</v>
      </c>
      <c r="H15" s="17">
        <v>2800000</v>
      </c>
      <c r="I15" s="22">
        <v>400000</v>
      </c>
    </row>
    <row r="16" spans="1:9" ht="14.4" customHeight="1" x14ac:dyDescent="0.3">
      <c r="A16" s="19" t="s">
        <v>106</v>
      </c>
      <c r="B16" s="19" t="s">
        <v>107</v>
      </c>
      <c r="C16" s="21">
        <v>2800000</v>
      </c>
      <c r="D16" s="21">
        <v>1533333.33</v>
      </c>
      <c r="E16" s="21">
        <v>3200000</v>
      </c>
      <c r="G16" s="16" t="s">
        <v>20</v>
      </c>
      <c r="H16" s="17">
        <v>2000000</v>
      </c>
      <c r="I16" s="22">
        <v>500000</v>
      </c>
    </row>
    <row r="17" spans="1:9" ht="14.4" customHeight="1" x14ac:dyDescent="0.3">
      <c r="A17" s="19" t="s">
        <v>108</v>
      </c>
      <c r="B17" s="19" t="s">
        <v>109</v>
      </c>
      <c r="C17" s="21">
        <v>1100000</v>
      </c>
      <c r="D17" s="21">
        <v>1533333.33</v>
      </c>
      <c r="E17" s="21">
        <v>1250000</v>
      </c>
      <c r="G17" s="16" t="s">
        <v>28</v>
      </c>
      <c r="H17" s="17">
        <v>1500000</v>
      </c>
      <c r="I17" s="22">
        <v>-300000</v>
      </c>
    </row>
    <row r="18" spans="1:9" ht="14.4" customHeight="1" x14ac:dyDescent="0.3">
      <c r="A18" s="19" t="s">
        <v>110</v>
      </c>
      <c r="B18" s="19" t="s">
        <v>111</v>
      </c>
      <c r="C18" s="21">
        <v>1900000</v>
      </c>
      <c r="D18" s="21">
        <v>1533333.33</v>
      </c>
      <c r="E18" s="21">
        <v>2100000</v>
      </c>
      <c r="G18" s="15" t="s">
        <v>24</v>
      </c>
      <c r="H18" s="17">
        <v>1800000</v>
      </c>
      <c r="I18" s="22">
        <v>200000</v>
      </c>
    </row>
    <row r="19" spans="1:9" ht="14.4" customHeight="1" x14ac:dyDescent="0.3">
      <c r="A19" s="19" t="s">
        <v>112</v>
      </c>
      <c r="B19" s="19" t="s">
        <v>113</v>
      </c>
      <c r="C19" s="21">
        <v>1450000</v>
      </c>
      <c r="D19" s="21">
        <v>1533333.33</v>
      </c>
      <c r="E19" s="21">
        <v>1700000</v>
      </c>
      <c r="G19" s="16" t="s">
        <v>24</v>
      </c>
      <c r="H19" s="17">
        <v>1800000</v>
      </c>
      <c r="I19" s="22">
        <v>200000</v>
      </c>
    </row>
    <row r="20" spans="1:9" ht="14.4" customHeight="1" x14ac:dyDescent="0.3">
      <c r="A20" s="19" t="s">
        <v>114</v>
      </c>
      <c r="B20" s="19" t="s">
        <v>115</v>
      </c>
      <c r="C20" s="21">
        <v>650000</v>
      </c>
      <c r="D20" s="21">
        <v>1533333.33</v>
      </c>
      <c r="E20" s="21">
        <v>800000</v>
      </c>
      <c r="G20" s="15" t="s">
        <v>125</v>
      </c>
      <c r="H20" s="17">
        <v>2750000</v>
      </c>
      <c r="I20" s="22">
        <v>50000</v>
      </c>
    </row>
    <row r="21" spans="1:9" ht="14.4" customHeight="1" x14ac:dyDescent="0.3">
      <c r="A21" s="19" t="s">
        <v>116</v>
      </c>
      <c r="B21" s="19" t="s">
        <v>117</v>
      </c>
      <c r="C21" s="21">
        <v>2100000</v>
      </c>
      <c r="D21" s="21">
        <v>1533333.33</v>
      </c>
      <c r="E21" s="21">
        <v>2400000</v>
      </c>
      <c r="G21" s="16" t="s">
        <v>109</v>
      </c>
      <c r="H21" s="17">
        <v>1100000</v>
      </c>
      <c r="I21" s="22">
        <v>150000</v>
      </c>
    </row>
    <row r="22" spans="1:9" ht="14.4" customHeight="1" x14ac:dyDescent="0.3">
      <c r="A22" s="19" t="s">
        <v>118</v>
      </c>
      <c r="B22" s="19" t="s">
        <v>119</v>
      </c>
      <c r="C22" s="21">
        <v>1750000</v>
      </c>
      <c r="D22" s="21">
        <v>1533333.33</v>
      </c>
      <c r="E22" s="21">
        <v>2000000</v>
      </c>
      <c r="G22" s="16" t="s">
        <v>15</v>
      </c>
      <c r="H22" s="17">
        <v>1000000</v>
      </c>
      <c r="I22" s="22">
        <v>-250000</v>
      </c>
    </row>
    <row r="23" spans="1:9" x14ac:dyDescent="0.3">
      <c r="G23" s="16" t="s">
        <v>115</v>
      </c>
      <c r="H23" s="17">
        <v>650000</v>
      </c>
      <c r="I23" s="22">
        <v>150000</v>
      </c>
    </row>
    <row r="24" spans="1:9" x14ac:dyDescent="0.3">
      <c r="G24" s="15" t="s">
        <v>129</v>
      </c>
      <c r="H24" s="17">
        <v>2200000</v>
      </c>
      <c r="I24" s="22">
        <v>250000</v>
      </c>
    </row>
    <row r="25" spans="1:9" x14ac:dyDescent="0.3">
      <c r="G25" s="16" t="s">
        <v>105</v>
      </c>
      <c r="H25" s="17">
        <v>1300000</v>
      </c>
      <c r="I25" s="22">
        <v>300000</v>
      </c>
    </row>
    <row r="26" spans="1:9" x14ac:dyDescent="0.3">
      <c r="G26" s="16" t="s">
        <v>99</v>
      </c>
      <c r="H26" s="17">
        <v>900000</v>
      </c>
      <c r="I26" s="22">
        <v>-50000</v>
      </c>
    </row>
    <row r="27" spans="1:9" x14ac:dyDescent="0.3">
      <c r="G27" s="15" t="s">
        <v>33</v>
      </c>
      <c r="H27" s="17">
        <v>2400000</v>
      </c>
      <c r="I27" s="22">
        <v>400000</v>
      </c>
    </row>
    <row r="28" spans="1:9" x14ac:dyDescent="0.3">
      <c r="G28" s="16" t="s">
        <v>33</v>
      </c>
      <c r="H28" s="17">
        <v>2400000</v>
      </c>
      <c r="I28" s="22">
        <v>400000</v>
      </c>
    </row>
    <row r="29" spans="1:9" x14ac:dyDescent="0.3">
      <c r="G29" s="15" t="s">
        <v>117</v>
      </c>
      <c r="H29" s="17">
        <v>2100000</v>
      </c>
      <c r="I29" s="22">
        <v>300000</v>
      </c>
    </row>
    <row r="30" spans="1:9" x14ac:dyDescent="0.3">
      <c r="G30" s="16" t="s">
        <v>117</v>
      </c>
      <c r="H30" s="17">
        <v>2100000</v>
      </c>
      <c r="I30" s="22">
        <v>300000</v>
      </c>
    </row>
    <row r="31" spans="1:9" x14ac:dyDescent="0.3">
      <c r="G31" s="15" t="s">
        <v>87</v>
      </c>
      <c r="H31" s="17">
        <v>30650000</v>
      </c>
      <c r="I31" s="22">
        <v>3600000</v>
      </c>
    </row>
  </sheetData>
  <mergeCells count="1">
    <mergeCell ref="A1:E1"/>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D268-9CDC-4152-9EAA-28A1BF40CCB8}">
  <dimension ref="A1:C6"/>
  <sheetViews>
    <sheetView tabSelected="1" zoomScale="101" workbookViewId="0"/>
  </sheetViews>
  <sheetFormatPr defaultRowHeight="14.4" x14ac:dyDescent="0.3"/>
  <cols>
    <col min="1" max="1" width="20.33203125" bestFit="1" customWidth="1"/>
    <col min="2" max="2" width="17.6640625" bestFit="1" customWidth="1"/>
    <col min="3" max="3" width="16.21875" bestFit="1" customWidth="1"/>
  </cols>
  <sheetData>
    <row r="1" spans="1:3" x14ac:dyDescent="0.3">
      <c r="A1" s="14" t="s">
        <v>64</v>
      </c>
      <c r="B1" t="s">
        <v>100</v>
      </c>
    </row>
    <row r="3" spans="1:3" x14ac:dyDescent="0.3">
      <c r="A3" s="14" t="s">
        <v>86</v>
      </c>
      <c r="B3" t="s">
        <v>121</v>
      </c>
      <c r="C3" t="s">
        <v>122</v>
      </c>
    </row>
    <row r="4" spans="1:3" x14ac:dyDescent="0.3">
      <c r="A4" s="15" t="s">
        <v>127</v>
      </c>
      <c r="B4" s="17">
        <v>2200000</v>
      </c>
      <c r="C4" s="22">
        <v>500000</v>
      </c>
    </row>
    <row r="5" spans="1:3" x14ac:dyDescent="0.3">
      <c r="A5" s="16" t="s">
        <v>101</v>
      </c>
      <c r="B5" s="17">
        <v>2200000</v>
      </c>
      <c r="C5" s="22">
        <v>500000</v>
      </c>
    </row>
    <row r="6" spans="1:3" x14ac:dyDescent="0.3">
      <c r="A6" s="15" t="s">
        <v>87</v>
      </c>
      <c r="B6" s="17">
        <v>2200000</v>
      </c>
      <c r="C6" s="22">
        <v>500000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A6618-7427-4884-A4FE-18997268B216}">
  <dimension ref="A1:C6"/>
  <sheetViews>
    <sheetView workbookViewId="0"/>
  </sheetViews>
  <sheetFormatPr defaultRowHeight="14.4" x14ac:dyDescent="0.3"/>
  <cols>
    <col min="1" max="1" width="16.6640625" bestFit="1" customWidth="1"/>
    <col min="2" max="2" width="17.6640625" bestFit="1" customWidth="1"/>
    <col min="3" max="3" width="16.21875" bestFit="1" customWidth="1"/>
  </cols>
  <sheetData>
    <row r="1" spans="1:3" x14ac:dyDescent="0.3">
      <c r="A1" s="14" t="s">
        <v>64</v>
      </c>
      <c r="B1" t="s">
        <v>92</v>
      </c>
    </row>
    <row r="3" spans="1:3" x14ac:dyDescent="0.3">
      <c r="A3" s="14" t="s">
        <v>86</v>
      </c>
      <c r="B3" t="s">
        <v>121</v>
      </c>
      <c r="C3" t="s">
        <v>122</v>
      </c>
    </row>
    <row r="4" spans="1:3" x14ac:dyDescent="0.3">
      <c r="A4" s="15" t="s">
        <v>126</v>
      </c>
      <c r="B4" s="17">
        <v>2000000</v>
      </c>
      <c r="C4" s="22">
        <v>500000</v>
      </c>
    </row>
    <row r="5" spans="1:3" x14ac:dyDescent="0.3">
      <c r="A5" s="16" t="s">
        <v>20</v>
      </c>
      <c r="B5" s="17">
        <v>2000000</v>
      </c>
      <c r="C5" s="22">
        <v>500000</v>
      </c>
    </row>
    <row r="6" spans="1:3" x14ac:dyDescent="0.3">
      <c r="A6" s="15" t="s">
        <v>87</v>
      </c>
      <c r="B6" s="17">
        <v>2000000</v>
      </c>
      <c r="C6" s="22">
        <v>500000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C35A6-BB4F-4000-9D9E-91385D7639DA}">
  <dimension ref="A1:C6"/>
  <sheetViews>
    <sheetView zoomScale="227" workbookViewId="0"/>
  </sheetViews>
  <sheetFormatPr defaultRowHeight="14.4" x14ac:dyDescent="0.3"/>
  <cols>
    <col min="1" max="1" width="12.5546875" bestFit="1" customWidth="1"/>
    <col min="2" max="2" width="17.6640625" bestFit="1" customWidth="1"/>
    <col min="3" max="3" width="16.21875" bestFit="1" customWidth="1"/>
  </cols>
  <sheetData>
    <row r="1" spans="1:3" x14ac:dyDescent="0.3">
      <c r="A1" s="14" t="s">
        <v>64</v>
      </c>
      <c r="B1" t="s">
        <v>96</v>
      </c>
    </row>
    <row r="3" spans="1:3" x14ac:dyDescent="0.3">
      <c r="A3" s="14" t="s">
        <v>86</v>
      </c>
      <c r="B3" t="s">
        <v>121</v>
      </c>
      <c r="C3" t="s">
        <v>122</v>
      </c>
    </row>
    <row r="4" spans="1:3" x14ac:dyDescent="0.3">
      <c r="A4" s="15" t="s">
        <v>24</v>
      </c>
      <c r="B4" s="17">
        <v>1800000</v>
      </c>
      <c r="C4" s="22">
        <v>200000</v>
      </c>
    </row>
    <row r="5" spans="1:3" x14ac:dyDescent="0.3">
      <c r="A5" s="16" t="s">
        <v>24</v>
      </c>
      <c r="B5" s="17">
        <v>1800000</v>
      </c>
      <c r="C5" s="22">
        <v>200000</v>
      </c>
    </row>
    <row r="6" spans="1:3" x14ac:dyDescent="0.3">
      <c r="A6" s="15" t="s">
        <v>87</v>
      </c>
      <c r="B6" s="17">
        <v>1800000</v>
      </c>
      <c r="C6" s="22">
        <v>200000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25C1-1EF6-4BE2-976B-40AE211134C4}">
  <dimension ref="A1:C6"/>
  <sheetViews>
    <sheetView workbookViewId="0"/>
  </sheetViews>
  <sheetFormatPr defaultRowHeight="14.4" x14ac:dyDescent="0.3"/>
  <cols>
    <col min="1" max="1" width="14.88671875" bestFit="1" customWidth="1"/>
    <col min="2" max="2" width="17.6640625" bestFit="1" customWidth="1"/>
    <col min="3" max="3" width="16.21875" bestFit="1" customWidth="1"/>
  </cols>
  <sheetData>
    <row r="1" spans="1:3" x14ac:dyDescent="0.3">
      <c r="A1" s="14" t="s">
        <v>64</v>
      </c>
      <c r="B1" t="s">
        <v>108</v>
      </c>
    </row>
    <row r="3" spans="1:3" x14ac:dyDescent="0.3">
      <c r="A3" s="14" t="s">
        <v>86</v>
      </c>
      <c r="B3" t="s">
        <v>121</v>
      </c>
      <c r="C3" t="s">
        <v>122</v>
      </c>
    </row>
    <row r="4" spans="1:3" x14ac:dyDescent="0.3">
      <c r="A4" s="15" t="s">
        <v>125</v>
      </c>
      <c r="B4" s="17">
        <v>1100000</v>
      </c>
      <c r="C4" s="22">
        <v>150000</v>
      </c>
    </row>
    <row r="5" spans="1:3" x14ac:dyDescent="0.3">
      <c r="A5" s="16" t="s">
        <v>109</v>
      </c>
      <c r="B5" s="17">
        <v>1100000</v>
      </c>
      <c r="C5" s="22">
        <v>150000</v>
      </c>
    </row>
    <row r="6" spans="1:3" x14ac:dyDescent="0.3">
      <c r="A6" s="15" t="s">
        <v>87</v>
      </c>
      <c r="B6" s="17">
        <v>1100000</v>
      </c>
      <c r="C6" s="22">
        <v>150000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E769A-F0EE-4663-952B-7425A1D229BB}">
  <dimension ref="A1:C6"/>
  <sheetViews>
    <sheetView workbookViewId="0"/>
  </sheetViews>
  <sheetFormatPr defaultRowHeight="14.4" x14ac:dyDescent="0.3"/>
  <cols>
    <col min="1" max="1" width="12.5546875" bestFit="1" customWidth="1"/>
    <col min="2" max="2" width="17.6640625" bestFit="1" customWidth="1"/>
    <col min="3" max="3" width="16.21875" bestFit="1" customWidth="1"/>
  </cols>
  <sheetData>
    <row r="1" spans="1:3" x14ac:dyDescent="0.3">
      <c r="A1" s="14" t="s">
        <v>64</v>
      </c>
      <c r="B1" t="s">
        <v>116</v>
      </c>
    </row>
    <row r="3" spans="1:3" x14ac:dyDescent="0.3">
      <c r="A3" s="14" t="s">
        <v>86</v>
      </c>
      <c r="B3" t="s">
        <v>121</v>
      </c>
      <c r="C3" t="s">
        <v>122</v>
      </c>
    </row>
    <row r="4" spans="1:3" x14ac:dyDescent="0.3">
      <c r="A4" s="15" t="s">
        <v>117</v>
      </c>
      <c r="B4" s="17">
        <v>2100000</v>
      </c>
      <c r="C4" s="22">
        <v>300000</v>
      </c>
    </row>
    <row r="5" spans="1:3" x14ac:dyDescent="0.3">
      <c r="A5" s="16" t="s">
        <v>117</v>
      </c>
      <c r="B5" s="17">
        <v>2100000</v>
      </c>
      <c r="C5" s="22">
        <v>300000</v>
      </c>
    </row>
    <row r="6" spans="1:3" x14ac:dyDescent="0.3">
      <c r="A6" s="15" t="s">
        <v>87</v>
      </c>
      <c r="B6" s="17">
        <v>2100000</v>
      </c>
      <c r="C6" s="22">
        <v>300000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A0D95-8E60-41BD-B3BB-BD4F4F48B176}">
  <dimension ref="A1:C6"/>
  <sheetViews>
    <sheetView workbookViewId="0"/>
  </sheetViews>
  <sheetFormatPr defaultRowHeight="14.4" x14ac:dyDescent="0.3"/>
  <cols>
    <col min="1" max="1" width="12.5546875" bestFit="1" customWidth="1"/>
    <col min="2" max="2" width="17.6640625" bestFit="1" customWidth="1"/>
    <col min="3" max="3" width="16.21875" bestFit="1" customWidth="1"/>
  </cols>
  <sheetData>
    <row r="1" spans="1:3" x14ac:dyDescent="0.3">
      <c r="A1" s="14" t="s">
        <v>64</v>
      </c>
      <c r="B1" t="s">
        <v>110</v>
      </c>
    </row>
    <row r="3" spans="1:3" x14ac:dyDescent="0.3">
      <c r="A3" s="14" t="s">
        <v>86</v>
      </c>
      <c r="B3" t="s">
        <v>121</v>
      </c>
      <c r="C3" t="s">
        <v>122</v>
      </c>
    </row>
    <row r="4" spans="1:3" x14ac:dyDescent="0.3">
      <c r="A4" s="15" t="s">
        <v>128</v>
      </c>
      <c r="B4" s="17">
        <v>1900000</v>
      </c>
      <c r="C4" s="22">
        <v>200000</v>
      </c>
    </row>
    <row r="5" spans="1:3" x14ac:dyDescent="0.3">
      <c r="A5" s="16" t="s">
        <v>111</v>
      </c>
      <c r="B5" s="17">
        <v>1900000</v>
      </c>
      <c r="C5" s="22">
        <v>200000</v>
      </c>
    </row>
    <row r="6" spans="1:3" x14ac:dyDescent="0.3">
      <c r="A6" s="15" t="s">
        <v>87</v>
      </c>
      <c r="B6" s="17">
        <v>1900000</v>
      </c>
      <c r="C6" s="22">
        <v>200000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3D832-8B14-4426-8153-7ABCADA43445}">
  <dimension ref="A1:C6"/>
  <sheetViews>
    <sheetView workbookViewId="0"/>
  </sheetViews>
  <sheetFormatPr defaultRowHeight="14.4" x14ac:dyDescent="0.3"/>
  <cols>
    <col min="1" max="1" width="12.5546875" bestFit="1" customWidth="1"/>
    <col min="2" max="2" width="17.6640625" bestFit="1" customWidth="1"/>
    <col min="3" max="3" width="16.21875" bestFit="1" customWidth="1"/>
  </cols>
  <sheetData>
    <row r="1" spans="1:3" x14ac:dyDescent="0.3">
      <c r="A1" s="14" t="s">
        <v>64</v>
      </c>
      <c r="B1" t="s">
        <v>93</v>
      </c>
    </row>
    <row r="3" spans="1:3" x14ac:dyDescent="0.3">
      <c r="A3" s="14" t="s">
        <v>86</v>
      </c>
      <c r="B3" t="s">
        <v>121</v>
      </c>
      <c r="C3" t="s">
        <v>122</v>
      </c>
    </row>
    <row r="4" spans="1:3" x14ac:dyDescent="0.3">
      <c r="A4" s="15" t="s">
        <v>33</v>
      </c>
      <c r="B4" s="17">
        <v>800000</v>
      </c>
      <c r="C4" s="22">
        <v>200000</v>
      </c>
    </row>
    <row r="5" spans="1:3" x14ac:dyDescent="0.3">
      <c r="A5" s="16" t="s">
        <v>33</v>
      </c>
      <c r="B5" s="17">
        <v>800000</v>
      </c>
      <c r="C5" s="22">
        <v>200000</v>
      </c>
    </row>
    <row r="6" spans="1:3" x14ac:dyDescent="0.3">
      <c r="A6" s="15" t="s">
        <v>87</v>
      </c>
      <c r="B6" s="17">
        <v>800000</v>
      </c>
      <c r="C6" s="22">
        <v>200000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BDFE-BEC0-4892-B0DF-06ABC0561E4A}">
  <dimension ref="A1:C6"/>
  <sheetViews>
    <sheetView workbookViewId="0"/>
  </sheetViews>
  <sheetFormatPr defaultRowHeight="14.4" x14ac:dyDescent="0.3"/>
  <cols>
    <col min="1" max="1" width="15.88671875" bestFit="1" customWidth="1"/>
    <col min="2" max="2" width="17.6640625" bestFit="1" customWidth="1"/>
    <col min="3" max="3" width="16.21875" bestFit="1" customWidth="1"/>
  </cols>
  <sheetData>
    <row r="1" spans="1:3" x14ac:dyDescent="0.3">
      <c r="A1" s="14" t="s">
        <v>64</v>
      </c>
      <c r="B1" t="s">
        <v>103</v>
      </c>
    </row>
    <row r="3" spans="1:3" x14ac:dyDescent="0.3">
      <c r="A3" s="14" t="s">
        <v>86</v>
      </c>
      <c r="B3" t="s">
        <v>121</v>
      </c>
      <c r="C3" t="s">
        <v>122</v>
      </c>
    </row>
    <row r="4" spans="1:3" x14ac:dyDescent="0.3">
      <c r="A4" s="15" t="s">
        <v>124</v>
      </c>
      <c r="B4" s="17">
        <v>700000</v>
      </c>
      <c r="C4" s="22">
        <v>200000</v>
      </c>
    </row>
    <row r="5" spans="1:3" x14ac:dyDescent="0.3">
      <c r="A5" s="16" t="s">
        <v>10</v>
      </c>
      <c r="B5" s="17">
        <v>700000</v>
      </c>
      <c r="C5" s="22">
        <v>200000</v>
      </c>
    </row>
    <row r="6" spans="1:3" x14ac:dyDescent="0.3">
      <c r="A6" s="15" t="s">
        <v>87</v>
      </c>
      <c r="B6" s="17">
        <v>700000</v>
      </c>
      <c r="C6" s="22">
        <v>200000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C8737-ED06-4BE3-AE8F-65E6BDD574EA}">
  <dimension ref="A1:C6"/>
  <sheetViews>
    <sheetView workbookViewId="0"/>
  </sheetViews>
  <sheetFormatPr defaultRowHeight="14.4" x14ac:dyDescent="0.3"/>
  <cols>
    <col min="1" max="1" width="14.88671875" bestFit="1" customWidth="1"/>
    <col min="2" max="2" width="17.6640625" bestFit="1" customWidth="1"/>
    <col min="3" max="3" width="16.21875" bestFit="1" customWidth="1"/>
  </cols>
  <sheetData>
    <row r="1" spans="1:3" x14ac:dyDescent="0.3">
      <c r="A1" s="14" t="s">
        <v>64</v>
      </c>
      <c r="B1" t="s">
        <v>90</v>
      </c>
    </row>
    <row r="3" spans="1:3" x14ac:dyDescent="0.3">
      <c r="A3" s="14" t="s">
        <v>86</v>
      </c>
      <c r="B3" t="s">
        <v>121</v>
      </c>
      <c r="C3" t="s">
        <v>122</v>
      </c>
    </row>
    <row r="4" spans="1:3" x14ac:dyDescent="0.3">
      <c r="A4" s="15" t="s">
        <v>125</v>
      </c>
      <c r="B4" s="17">
        <v>1000000</v>
      </c>
      <c r="C4" s="22">
        <v>-250000</v>
      </c>
    </row>
    <row r="5" spans="1:3" x14ac:dyDescent="0.3">
      <c r="A5" s="16" t="s">
        <v>15</v>
      </c>
      <c r="B5" s="17">
        <v>1000000</v>
      </c>
      <c r="C5" s="22">
        <v>-250000</v>
      </c>
    </row>
    <row r="6" spans="1:3" x14ac:dyDescent="0.3">
      <c r="A6" s="15" t="s">
        <v>87</v>
      </c>
      <c r="B6" s="17">
        <v>1000000</v>
      </c>
      <c r="C6" s="22">
        <v>-250000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DD58-FA7A-40A7-9C3E-EAF2DDD5F16B}">
  <dimension ref="A1:C6"/>
  <sheetViews>
    <sheetView workbookViewId="0"/>
  </sheetViews>
  <sheetFormatPr defaultRowHeight="14.4" x14ac:dyDescent="0.3"/>
  <cols>
    <col min="1" max="1" width="15.88671875" bestFit="1" customWidth="1"/>
    <col min="2" max="2" width="17.6640625" bestFit="1" customWidth="1"/>
    <col min="3" max="3" width="16.21875" bestFit="1" customWidth="1"/>
  </cols>
  <sheetData>
    <row r="1" spans="1:3" x14ac:dyDescent="0.3">
      <c r="A1" s="14" t="s">
        <v>64</v>
      </c>
      <c r="B1" t="s">
        <v>112</v>
      </c>
    </row>
    <row r="3" spans="1:3" x14ac:dyDescent="0.3">
      <c r="A3" s="14" t="s">
        <v>86</v>
      </c>
      <c r="B3" t="s">
        <v>121</v>
      </c>
      <c r="C3" t="s">
        <v>122</v>
      </c>
    </row>
    <row r="4" spans="1:3" x14ac:dyDescent="0.3">
      <c r="A4" s="15" t="s">
        <v>124</v>
      </c>
      <c r="B4" s="17">
        <v>1450000</v>
      </c>
      <c r="C4" s="22">
        <v>250000</v>
      </c>
    </row>
    <row r="5" spans="1:3" x14ac:dyDescent="0.3">
      <c r="A5" s="16" t="s">
        <v>113</v>
      </c>
      <c r="B5" s="17">
        <v>1450000</v>
      </c>
      <c r="C5" s="22">
        <v>250000</v>
      </c>
    </row>
    <row r="6" spans="1:3" x14ac:dyDescent="0.3">
      <c r="A6" s="15" t="s">
        <v>87</v>
      </c>
      <c r="B6" s="17">
        <v>1450000</v>
      </c>
      <c r="C6" s="22">
        <v>250000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CB1D9-587C-49B5-AC85-E8CB2375720E}">
  <dimension ref="A1:C6"/>
  <sheetViews>
    <sheetView workbookViewId="0"/>
  </sheetViews>
  <sheetFormatPr defaultRowHeight="14.4" x14ac:dyDescent="0.3"/>
  <cols>
    <col min="1" max="1" width="12.5546875" bestFit="1" customWidth="1"/>
    <col min="2" max="2" width="17.6640625" bestFit="1" customWidth="1"/>
    <col min="3" max="3" width="16.21875" bestFit="1" customWidth="1"/>
  </cols>
  <sheetData>
    <row r="1" spans="1:3" x14ac:dyDescent="0.3">
      <c r="A1" s="14" t="s">
        <v>64</v>
      </c>
      <c r="B1" t="s">
        <v>94</v>
      </c>
    </row>
    <row r="3" spans="1:3" x14ac:dyDescent="0.3">
      <c r="A3" s="14" t="s">
        <v>86</v>
      </c>
      <c r="B3" t="s">
        <v>121</v>
      </c>
      <c r="C3" t="s">
        <v>122</v>
      </c>
    </row>
    <row r="4" spans="1:3" x14ac:dyDescent="0.3">
      <c r="A4" s="15" t="s">
        <v>128</v>
      </c>
      <c r="B4" s="17">
        <v>1400000</v>
      </c>
      <c r="C4" s="22">
        <v>-400000</v>
      </c>
    </row>
    <row r="5" spans="1:3" x14ac:dyDescent="0.3">
      <c r="A5" s="16" t="s">
        <v>95</v>
      </c>
      <c r="B5" s="17">
        <v>1400000</v>
      </c>
      <c r="C5" s="22">
        <v>-400000</v>
      </c>
    </row>
    <row r="6" spans="1:3" x14ac:dyDescent="0.3">
      <c r="A6" s="15" t="s">
        <v>87</v>
      </c>
      <c r="B6" s="17">
        <v>1400000</v>
      </c>
      <c r="C6" s="22">
        <v>-400000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6F400-BE29-4063-9709-865229B2F66B}">
  <dimension ref="A1:C6"/>
  <sheetViews>
    <sheetView workbookViewId="0"/>
  </sheetViews>
  <sheetFormatPr defaultRowHeight="14.4" x14ac:dyDescent="0.3"/>
  <cols>
    <col min="1" max="1" width="22.109375" bestFit="1" customWidth="1"/>
    <col min="2" max="2" width="17.6640625" bestFit="1" customWidth="1"/>
    <col min="3" max="3" width="16.21875" bestFit="1" customWidth="1"/>
  </cols>
  <sheetData>
    <row r="1" spans="1:3" x14ac:dyDescent="0.3">
      <c r="A1" s="14" t="s">
        <v>64</v>
      </c>
      <c r="B1" t="s">
        <v>104</v>
      </c>
    </row>
    <row r="3" spans="1:3" x14ac:dyDescent="0.3">
      <c r="A3" s="14" t="s">
        <v>86</v>
      </c>
      <c r="B3" t="s">
        <v>121</v>
      </c>
      <c r="C3" t="s">
        <v>122</v>
      </c>
    </row>
    <row r="4" spans="1:3" x14ac:dyDescent="0.3">
      <c r="A4" s="15" t="s">
        <v>129</v>
      </c>
      <c r="B4" s="17">
        <v>1300000</v>
      </c>
      <c r="C4" s="22">
        <v>300000</v>
      </c>
    </row>
    <row r="5" spans="1:3" x14ac:dyDescent="0.3">
      <c r="A5" s="16" t="s">
        <v>105</v>
      </c>
      <c r="B5" s="17">
        <v>1300000</v>
      </c>
      <c r="C5" s="22">
        <v>300000</v>
      </c>
    </row>
    <row r="6" spans="1:3" x14ac:dyDescent="0.3">
      <c r="A6" s="15" t="s">
        <v>87</v>
      </c>
      <c r="B6" s="17">
        <v>1300000</v>
      </c>
      <c r="C6" s="22">
        <v>300000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F0B00-21D5-47FE-A864-0167B271A085}">
  <dimension ref="A1:C6"/>
  <sheetViews>
    <sheetView workbookViewId="0"/>
  </sheetViews>
  <sheetFormatPr defaultRowHeight="14.4" x14ac:dyDescent="0.3"/>
  <cols>
    <col min="1" max="1" width="15.88671875" bestFit="1" customWidth="1"/>
    <col min="2" max="2" width="17.6640625" bestFit="1" customWidth="1"/>
    <col min="3" max="3" width="16.21875" bestFit="1" customWidth="1"/>
  </cols>
  <sheetData>
    <row r="1" spans="1:3" x14ac:dyDescent="0.3">
      <c r="A1" s="14" t="s">
        <v>64</v>
      </c>
      <c r="B1" t="s">
        <v>18</v>
      </c>
    </row>
    <row r="3" spans="1:3" x14ac:dyDescent="0.3">
      <c r="A3" s="14" t="s">
        <v>86</v>
      </c>
      <c r="B3" t="s">
        <v>121</v>
      </c>
      <c r="C3" t="s">
        <v>122</v>
      </c>
    </row>
    <row r="4" spans="1:3" x14ac:dyDescent="0.3">
      <c r="A4" s="15" t="s">
        <v>124</v>
      </c>
      <c r="B4" s="17">
        <v>2500000</v>
      </c>
      <c r="C4" s="22">
        <v>500000</v>
      </c>
    </row>
    <row r="5" spans="1:3" x14ac:dyDescent="0.3">
      <c r="A5" s="16" t="s">
        <v>10</v>
      </c>
      <c r="B5" s="17">
        <v>2500000</v>
      </c>
      <c r="C5" s="22">
        <v>500000</v>
      </c>
    </row>
    <row r="6" spans="1:3" x14ac:dyDescent="0.3">
      <c r="A6" s="15" t="s">
        <v>87</v>
      </c>
      <c r="B6" s="17">
        <v>2500000</v>
      </c>
      <c r="C6" s="22">
        <v>500000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023A9-8D85-4EC5-A540-377F290CE1CF}">
  <dimension ref="A1:C6"/>
  <sheetViews>
    <sheetView workbookViewId="0"/>
  </sheetViews>
  <sheetFormatPr defaultRowHeight="14.4" x14ac:dyDescent="0.3"/>
  <cols>
    <col min="1" max="1" width="12.5546875" bestFit="1" customWidth="1"/>
    <col min="2" max="2" width="17.6640625" bestFit="1" customWidth="1"/>
    <col min="3" max="3" width="16.21875" bestFit="1" customWidth="1"/>
  </cols>
  <sheetData>
    <row r="1" spans="1:3" x14ac:dyDescent="0.3">
      <c r="A1" s="14" t="s">
        <v>64</v>
      </c>
      <c r="B1" t="s">
        <v>102</v>
      </c>
    </row>
    <row r="3" spans="1:3" x14ac:dyDescent="0.3">
      <c r="A3" s="14" t="s">
        <v>86</v>
      </c>
      <c r="B3" t="s">
        <v>121</v>
      </c>
      <c r="C3" t="s">
        <v>122</v>
      </c>
    </row>
    <row r="4" spans="1:3" x14ac:dyDescent="0.3">
      <c r="A4" s="15" t="s">
        <v>33</v>
      </c>
      <c r="B4" s="17">
        <v>1600000</v>
      </c>
      <c r="C4" s="22">
        <v>200000</v>
      </c>
    </row>
    <row r="5" spans="1:3" x14ac:dyDescent="0.3">
      <c r="A5" s="16" t="s">
        <v>33</v>
      </c>
      <c r="B5" s="17">
        <v>1600000</v>
      </c>
      <c r="C5" s="22">
        <v>200000</v>
      </c>
    </row>
    <row r="6" spans="1:3" x14ac:dyDescent="0.3">
      <c r="A6" s="15" t="s">
        <v>87</v>
      </c>
      <c r="B6" s="17">
        <v>1600000</v>
      </c>
      <c r="C6" s="22">
        <v>200000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1DAB-D22F-474D-B8B8-664544E6667E}">
  <dimension ref="A1:C6"/>
  <sheetViews>
    <sheetView workbookViewId="0"/>
  </sheetViews>
  <sheetFormatPr defaultRowHeight="14.4" x14ac:dyDescent="0.3"/>
  <cols>
    <col min="1" max="1" width="22.109375" bestFit="1" customWidth="1"/>
    <col min="2" max="2" width="17.6640625" bestFit="1" customWidth="1"/>
    <col min="3" max="3" width="16.21875" bestFit="1" customWidth="1"/>
  </cols>
  <sheetData>
    <row r="1" spans="1:3" x14ac:dyDescent="0.3">
      <c r="A1" s="14" t="s">
        <v>64</v>
      </c>
      <c r="B1" t="s">
        <v>98</v>
      </c>
    </row>
    <row r="3" spans="1:3" x14ac:dyDescent="0.3">
      <c r="A3" s="14" t="s">
        <v>86</v>
      </c>
      <c r="B3" t="s">
        <v>121</v>
      </c>
      <c r="C3" t="s">
        <v>122</v>
      </c>
    </row>
    <row r="4" spans="1:3" x14ac:dyDescent="0.3">
      <c r="A4" s="15" t="s">
        <v>129</v>
      </c>
      <c r="B4" s="17">
        <v>900000</v>
      </c>
      <c r="C4" s="22">
        <v>-50000</v>
      </c>
    </row>
    <row r="5" spans="1:3" x14ac:dyDescent="0.3">
      <c r="A5" s="16" t="s">
        <v>99</v>
      </c>
      <c r="B5" s="17">
        <v>900000</v>
      </c>
      <c r="C5" s="22">
        <v>-50000</v>
      </c>
    </row>
    <row r="6" spans="1:3" x14ac:dyDescent="0.3">
      <c r="A6" s="15" t="s">
        <v>87</v>
      </c>
      <c r="B6" s="17">
        <v>900000</v>
      </c>
      <c r="C6" s="22">
        <v>-50000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5F6C-D707-484F-931D-3203025AE905}">
  <dimension ref="A1:C6"/>
  <sheetViews>
    <sheetView workbookViewId="0"/>
  </sheetViews>
  <sheetFormatPr defaultRowHeight="14.4" x14ac:dyDescent="0.3"/>
  <cols>
    <col min="1" max="1" width="20.33203125" bestFit="1" customWidth="1"/>
    <col min="2" max="2" width="17.6640625" bestFit="1" customWidth="1"/>
    <col min="3" max="3" width="16.21875" bestFit="1" customWidth="1"/>
  </cols>
  <sheetData>
    <row r="1" spans="1:3" x14ac:dyDescent="0.3">
      <c r="A1" s="14" t="s">
        <v>64</v>
      </c>
      <c r="B1" t="s">
        <v>118</v>
      </c>
    </row>
    <row r="3" spans="1:3" x14ac:dyDescent="0.3">
      <c r="A3" s="14" t="s">
        <v>86</v>
      </c>
      <c r="B3" t="s">
        <v>121</v>
      </c>
      <c r="C3" t="s">
        <v>122</v>
      </c>
    </row>
    <row r="4" spans="1:3" x14ac:dyDescent="0.3">
      <c r="A4" s="15" t="s">
        <v>127</v>
      </c>
      <c r="B4" s="17">
        <v>1750000</v>
      </c>
      <c r="C4" s="22">
        <v>250000</v>
      </c>
    </row>
    <row r="5" spans="1:3" x14ac:dyDescent="0.3">
      <c r="A5" s="16" t="s">
        <v>119</v>
      </c>
      <c r="B5" s="17">
        <v>1750000</v>
      </c>
      <c r="C5" s="22">
        <v>250000</v>
      </c>
    </row>
    <row r="6" spans="1:3" x14ac:dyDescent="0.3">
      <c r="A6" s="15" t="s">
        <v>87</v>
      </c>
      <c r="B6" s="17">
        <v>1750000</v>
      </c>
      <c r="C6" s="22">
        <v>250000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FD06C-3C7E-4E90-B798-19709BCC668C}">
  <dimension ref="A1:C6"/>
  <sheetViews>
    <sheetView workbookViewId="0"/>
  </sheetViews>
  <sheetFormatPr defaultRowHeight="14.4" x14ac:dyDescent="0.3"/>
  <cols>
    <col min="1" max="1" width="15.88671875" bestFit="1" customWidth="1"/>
    <col min="2" max="2" width="17.6640625" bestFit="1" customWidth="1"/>
    <col min="3" max="3" width="16.21875" bestFit="1" customWidth="1"/>
  </cols>
  <sheetData>
    <row r="1" spans="1:3" x14ac:dyDescent="0.3">
      <c r="A1" s="14" t="s">
        <v>64</v>
      </c>
      <c r="B1" t="s">
        <v>97</v>
      </c>
    </row>
    <row r="3" spans="1:3" x14ac:dyDescent="0.3">
      <c r="A3" s="14" t="s">
        <v>86</v>
      </c>
      <c r="B3" t="s">
        <v>121</v>
      </c>
      <c r="C3" t="s">
        <v>122</v>
      </c>
    </row>
    <row r="4" spans="1:3" x14ac:dyDescent="0.3">
      <c r="A4" s="15" t="s">
        <v>124</v>
      </c>
      <c r="B4" s="17">
        <v>1200000</v>
      </c>
      <c r="C4" s="22">
        <v>300000</v>
      </c>
    </row>
    <row r="5" spans="1:3" x14ac:dyDescent="0.3">
      <c r="A5" s="16" t="s">
        <v>44</v>
      </c>
      <c r="B5" s="17">
        <v>1200000</v>
      </c>
      <c r="C5" s="22">
        <v>300000</v>
      </c>
    </row>
    <row r="6" spans="1:3" x14ac:dyDescent="0.3">
      <c r="A6" s="15" t="s">
        <v>87</v>
      </c>
      <c r="B6" s="17">
        <v>1200000</v>
      </c>
      <c r="C6" s="22">
        <v>300000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4836-A08B-41FC-A1A1-6C7A2AF3FC25}">
  <dimension ref="A1:C6"/>
  <sheetViews>
    <sheetView workbookViewId="0"/>
  </sheetViews>
  <sheetFormatPr defaultRowHeight="14.4" x14ac:dyDescent="0.3"/>
  <cols>
    <col min="1" max="1" width="16.6640625" bestFit="1" customWidth="1"/>
    <col min="2" max="2" width="17.6640625" bestFit="1" customWidth="1"/>
    <col min="3" max="3" width="16.21875" bestFit="1" customWidth="1"/>
  </cols>
  <sheetData>
    <row r="1" spans="1:3" x14ac:dyDescent="0.3">
      <c r="A1" s="14" t="s">
        <v>64</v>
      </c>
      <c r="B1" t="s">
        <v>106</v>
      </c>
    </row>
    <row r="3" spans="1:3" x14ac:dyDescent="0.3">
      <c r="A3" s="14" t="s">
        <v>86</v>
      </c>
      <c r="B3" t="s">
        <v>121</v>
      </c>
      <c r="C3" t="s">
        <v>122</v>
      </c>
    </row>
    <row r="4" spans="1:3" x14ac:dyDescent="0.3">
      <c r="A4" s="15" t="s">
        <v>126</v>
      </c>
      <c r="B4" s="17">
        <v>2800000</v>
      </c>
      <c r="C4" s="22">
        <v>400000</v>
      </c>
    </row>
    <row r="5" spans="1:3" x14ac:dyDescent="0.3">
      <c r="A5" s="16" t="s">
        <v>107</v>
      </c>
      <c r="B5" s="17">
        <v>2800000</v>
      </c>
      <c r="C5" s="22">
        <v>400000</v>
      </c>
    </row>
    <row r="6" spans="1:3" x14ac:dyDescent="0.3">
      <c r="A6" s="15" t="s">
        <v>87</v>
      </c>
      <c r="B6" s="17">
        <v>2800000</v>
      </c>
      <c r="C6" s="22">
        <v>400000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708E6-8165-4D4D-9CD7-1EE03B029E99}">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Table</vt:lpstr>
      <vt:lpstr>Pivot Table</vt:lpstr>
      <vt:lpstr>Pivot - Advanced</vt:lpstr>
      <vt:lpstr>Akila</vt:lpstr>
      <vt:lpstr>Chamod</vt:lpstr>
      <vt:lpstr>Dhanushka</vt:lpstr>
      <vt:lpstr>Dimuthu</vt:lpstr>
      <vt:lpstr>Harsha</vt:lpstr>
      <vt:lpstr>Hasitha</vt:lpstr>
      <vt:lpstr>Isuru</vt:lpstr>
      <vt:lpstr>Janith</vt:lpstr>
      <vt:lpstr>Kasun</vt:lpstr>
      <vt:lpstr>Lakshan</vt:lpstr>
      <vt:lpstr>Malith</vt:lpstr>
      <vt:lpstr>Naveen</vt:lpstr>
      <vt:lpstr>Nimal</vt:lpstr>
      <vt:lpstr>Praveen</vt:lpstr>
      <vt:lpstr>Ravindu</vt:lpstr>
      <vt:lpstr>Ruwan</vt:lpstr>
      <vt:lpstr>Sahan</vt:lpstr>
      <vt:lpstr>Shehan</vt:lpstr>
      <vt:lpstr>Sheet23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2015-06-05T18:17:20Z</dcterms:created>
  <dcterms:modified xsi:type="dcterms:W3CDTF">2026-07-19T19:08:02Z</dcterms:modified>
</cp:coreProperties>
</file>